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 firstSheet="1" activeTab="4"/>
  </bookViews>
  <sheets>
    <sheet name="Attribute_Config" sheetId="1" r:id="rId1"/>
    <sheet name="Panel_Summary" sheetId="2" r:id="rId2"/>
    <sheet name="Semantic_Groups" sheetId="3" r:id="rId3"/>
    <sheet name="Decision_Rules" sheetId="4" r:id="rId4"/>
    <sheet name="Excluded_Candidates" sheetId="5" r:id="rId5"/>
    <sheet name="Sources" sheetId="6" r:id="rId6"/>
    <sheet name="Read_Me" sheetId="7" r:id="rId7"/>
    <sheet name="Rule_Lookup" sheetId="8" r:id="rId8"/>
    <sheet name="Rule_Source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<sst xmlns="http://schemas.openxmlformats.org/spreadsheetml/2006/main" count="3180" uniqueCount="899">
  <si>
    <t>ID</t>
  </si>
  <si>
    <t>Added in</t>
  </si>
  <si>
    <t>In D10</t>
  </si>
  <si>
    <t>In D20</t>
  </si>
  <si>
    <t>In D40</t>
  </si>
  <si>
    <t>Attribute</t>
  </si>
  <si>
    <t>NHANES file</t>
  </si>
  <si>
    <t>NHANES variable</t>
  </si>
  <si>
    <t>Native unit</t>
  </si>
  <si>
    <t>LOINC (NHANES)</t>
  </si>
  <si>
    <t>PIC LOINC (D10 only)</t>
  </si>
  <si>
    <t>Semantic group</t>
  </si>
  <si>
    <t>HPO ID</t>
  </si>
  <si>
    <t>HPO official anchor</t>
  </si>
  <si>
    <t>Rule class</t>
  </si>
  <si>
    <t>Eligibility</t>
  </si>
  <si>
    <t>Cohort handling</t>
  </si>
  <si>
    <t>Mapping provenance</t>
  </si>
  <si>
    <t>Freeze status</t>
  </si>
  <si>
    <t>CDC source</t>
  </si>
  <si>
    <t>LOINC source</t>
  </si>
  <si>
    <t>HPO source</t>
  </si>
  <si>
    <t>D10</t>
  </si>
  <si>
    <t>Yes</t>
  </si>
  <si>
    <t>Sodium</t>
  </si>
  <si>
    <t>BIOPRO_L</t>
  </si>
  <si>
    <t>LBXSNASI</t>
  </si>
  <si>
    <t>mmol/L</t>
  </si>
  <si>
    <t>2951-2</t>
  </si>
  <si>
    <t>2947-0</t>
  </si>
  <si>
    <t>G1</t>
  </si>
  <si>
    <t>HP:0003111</t>
  </si>
  <si>
    <t>Abnormal circulating electrolyte concentration</t>
  </si>
  <si>
    <t>Frozen public reference interval/decision rule; see Decision_Rules + Rule_Lookup</t>
  </si>
  <si>
    <t>PIC 1–17; NHANES adult cohort</t>
  </si>
  <si>
    <t>Use PIC base cohort and the fixed NHANES adult cohort; retain item-level missingness; no complete-case filtering</t>
  </si>
  <si>
    <t>Current manuscript Table 2; preserve unchanged</t>
  </si>
  <si>
    <t>FROZEN</t>
  </si>
  <si>
    <t>https://wwwn.cdc.gov/Nchs/Data/Nhanes/Public/2021/DataFiles/BIOPRO_L.htm</t>
  </si>
  <si>
    <t>https://loinc.org/2951-2</t>
  </si>
  <si>
    <t>https://hpo.jax.org/browse/term/HP:0003111</t>
  </si>
  <si>
    <t>Chloride</t>
  </si>
  <si>
    <t>LBXSCLSI</t>
  </si>
  <si>
    <t>2075-0</t>
  </si>
  <si>
    <t>2069-3</t>
  </si>
  <si>
    <t>https://loinc.org/2075-0</t>
  </si>
  <si>
    <t>Magnesium</t>
  </si>
  <si>
    <t>LBXMAGN</t>
  </si>
  <si>
    <t>mg/dL</t>
  </si>
  <si>
    <t>19123-9</t>
  </si>
  <si>
    <t>https://loinc.org/19123-9</t>
  </si>
  <si>
    <t>Phosphate (phosphorus)</t>
  </si>
  <si>
    <t>LBXSPH</t>
  </si>
  <si>
    <t>2777-1</t>
  </si>
  <si>
    <t>https://loinc.org/2777-1</t>
  </si>
  <si>
    <t>Creatinine</t>
  </si>
  <si>
    <t>LBXSCR</t>
  </si>
  <si>
    <t>2160-0</t>
  </si>
  <si>
    <t>G2</t>
  </si>
  <si>
    <t>HP:0004364</t>
  </si>
  <si>
    <t>Abnormal circulating nitrogen compound concentration</t>
  </si>
  <si>
    <t>https://loinc.org/2160-0</t>
  </si>
  <si>
    <t>https://hpo.jax.org/browse/term/HP:0004364</t>
  </si>
  <si>
    <t>Urea nitrogen (BUN)</t>
  </si>
  <si>
    <t>LBXSBU</t>
  </si>
  <si>
    <t>3094-0</t>
  </si>
  <si>
    <t>https://loinc.org/3094-0</t>
  </si>
  <si>
    <t>Glucose</t>
  </si>
  <si>
    <t>LBXSGL</t>
  </si>
  <si>
    <t>2345-7</t>
  </si>
  <si>
    <t>2339-0</t>
  </si>
  <si>
    <t>G3</t>
  </si>
  <si>
    <t>HP:0001939</t>
  </si>
  <si>
    <t>Abnormality of metabolism/homeostasis</t>
  </si>
  <si>
    <t>https://loinc.org/2345-7</t>
  </si>
  <si>
    <t>https://hpo.jax.org/browse/term/HP:0001939</t>
  </si>
  <si>
    <t>Albumin</t>
  </si>
  <si>
    <t>LBXSAL</t>
  </si>
  <si>
    <t>g/dL</t>
  </si>
  <si>
    <t>1751-7</t>
  </si>
  <si>
    <t>https://loinc.org/1751-7</t>
  </si>
  <si>
    <t>Hemoglobin</t>
  </si>
  <si>
    <t>CBC_L</t>
  </si>
  <si>
    <t>LBXHGB</t>
  </si>
  <si>
    <t>718-7</t>
  </si>
  <si>
    <t>G4</t>
  </si>
  <si>
    <t>HP:0001871</t>
  </si>
  <si>
    <t>Abnormality of blood and blood-forming tissues</t>
  </si>
  <si>
    <t>https://wwwn.cdc.gov/Nchs/Data/Nhanes/Public/2021/DataFiles/CBC_L.htm</t>
  </si>
  <si>
    <t>https://loinc.org/718-7</t>
  </si>
  <si>
    <t>https://hpo.jax.org/browse/term/HP:0001871</t>
  </si>
  <si>
    <t>Platelet count</t>
  </si>
  <si>
    <t>LBXPLTSI</t>
  </si>
  <si>
    <t>10^3 cells/µL</t>
  </si>
  <si>
    <t>777-3</t>
  </si>
  <si>
    <t>https://loinc.org/777-3</t>
  </si>
  <si>
    <t>D20</t>
  </si>
  <si>
    <t>No</t>
  </si>
  <si>
    <t>Potassium</t>
  </si>
  <si>
    <t>LBXSKSI</t>
  </si>
  <si>
    <t>2823-3</t>
  </si>
  <si>
    <t/>
  </si>
  <si>
    <t>NHANES adult cohort</t>
  </si>
  <si>
    <t>Use same fixed NHANES adult cohort; retain item-level missingness; no complete-case filtering</t>
  </si>
  <si>
    <t>Frozen D20/D40 extension design; CDC + LOINC + HPO</t>
  </si>
  <si>
    <t>https://loinc.org/2823-3</t>
  </si>
  <si>
    <t>Bicarbonate</t>
  </si>
  <si>
    <t>LBXSC3SI</t>
  </si>
  <si>
    <t>1963-8</t>
  </si>
  <si>
    <t>https://loinc.org/1963-8</t>
  </si>
  <si>
    <t>Total calcium</t>
  </si>
  <si>
    <t>LBXSCA</t>
  </si>
  <si>
    <t>17861-6</t>
  </si>
  <si>
    <t>https://loinc.org/17861-6</t>
  </si>
  <si>
    <t>Total protein</t>
  </si>
  <si>
    <t>LBXSTP</t>
  </si>
  <si>
    <t>2885-2</t>
  </si>
  <si>
    <t>https://loinc.org/2885-2</t>
  </si>
  <si>
    <t>Alanine aminotransferase (ALT)</t>
  </si>
  <si>
    <t>LBXSATSI</t>
  </si>
  <si>
    <t>IU/L</t>
  </si>
  <si>
    <t>1742-6</t>
  </si>
  <si>
    <t>G5</t>
  </si>
  <si>
    <t>HP:0012379</t>
  </si>
  <si>
    <t>Abnormal circulating enzyme concentration or activity</t>
  </si>
  <si>
    <t>https://loinc.org/1742-6</t>
  </si>
  <si>
    <t>https://hpo.jax.org/browse/term/HP:0012379</t>
  </si>
  <si>
    <t>Aspartate aminotransferase (AST)</t>
  </si>
  <si>
    <t>LBXSASSI</t>
  </si>
  <si>
    <t>1920-8</t>
  </si>
  <si>
    <t>https://loinc.org/1920-8</t>
  </si>
  <si>
    <t>Alkaline phosphatase (ALP)</t>
  </si>
  <si>
    <t>LBXSAPSI</t>
  </si>
  <si>
    <t>6768-6</t>
  </si>
  <si>
    <t>https://loinc.org/6768-6</t>
  </si>
  <si>
    <t>Gamma-glutamyl transferase (GGT)</t>
  </si>
  <si>
    <t>LBXSGTSI</t>
  </si>
  <si>
    <t>2324-2</t>
  </si>
  <si>
    <t>https://loinc.org/2324-2</t>
  </si>
  <si>
    <t>Total bilirubin</t>
  </si>
  <si>
    <t>LBXSTB</t>
  </si>
  <si>
    <t>1975-2</t>
  </si>
  <si>
    <t>https://loinc.org/1975-2</t>
  </si>
  <si>
    <t>Uric acid</t>
  </si>
  <si>
    <t>LBXSUA</t>
  </si>
  <si>
    <t>3084-1</t>
  </si>
  <si>
    <t>https://loinc.org/3084-1</t>
  </si>
  <si>
    <t>D40</t>
  </si>
  <si>
    <t>Creatine kinase (CK/CPK)</t>
  </si>
  <si>
    <t>LBXSCK</t>
  </si>
  <si>
    <t>U/L</t>
  </si>
  <si>
    <t>2157-6</t>
  </si>
  <si>
    <t>https://loinc.org/2157-6</t>
  </si>
  <si>
    <t>Lactate dehydrogenase (LDH)</t>
  </si>
  <si>
    <t>LBXSLDSI</t>
  </si>
  <si>
    <t>14804-9</t>
  </si>
  <si>
    <t>https://loinc.org/14804-9</t>
  </si>
  <si>
    <t>Iron</t>
  </si>
  <si>
    <t>LBXSIR</t>
  </si>
  <si>
    <t>µg/dL</t>
  </si>
  <si>
    <t>2498-4</t>
  </si>
  <si>
    <t>G10</t>
  </si>
  <si>
    <t>HP:0040130</t>
  </si>
  <si>
    <t>Abnormal circulating iron concentration</t>
  </si>
  <si>
    <t>https://loinc.org/2498-4</t>
  </si>
  <si>
    <t>https://hpo.jax.org/browse/term/HP:0040130</t>
  </si>
  <si>
    <t>Total cholesterol</t>
  </si>
  <si>
    <t>TCHOL_L</t>
  </si>
  <si>
    <t>LBXTC</t>
  </si>
  <si>
    <t>2093-3</t>
  </si>
  <si>
    <t>G6</t>
  </si>
  <si>
    <t>HP:0003119</t>
  </si>
  <si>
    <t>Abnormal circulating lipid concentration</t>
  </si>
  <si>
    <t>https://wwwn.cdc.gov/Nchs/Data/Nhanes/Public/2021/DataFiles/TCHOL_L.htm</t>
  </si>
  <si>
    <t>https://loinc.org/2093-3</t>
  </si>
  <si>
    <t>https://hpo.jax.org/browse/term/HP:0003119</t>
  </si>
  <si>
    <t>HDL cholesterol</t>
  </si>
  <si>
    <t>HDL_L</t>
  </si>
  <si>
    <t>LBDHDD</t>
  </si>
  <si>
    <t>2085-9</t>
  </si>
  <si>
    <t>https://wwwn.cdc.gov/Nchs/Data/Nhanes/Public/2021/DataFiles/HDL_L.htm</t>
  </si>
  <si>
    <t>https://loinc.org/2085-9</t>
  </si>
  <si>
    <t>White blood cell count</t>
  </si>
  <si>
    <t>LBXWBCSI</t>
  </si>
  <si>
    <t>6690-2</t>
  </si>
  <si>
    <t>G7</t>
  </si>
  <si>
    <t>HP:0001881</t>
  </si>
  <si>
    <t>Abnormal leukocyte morphology</t>
  </si>
  <si>
    <t>https://loinc.org/6690-2</t>
  </si>
  <si>
    <t>https://hpo.jax.org/browse/term/HP:0001881</t>
  </si>
  <si>
    <t>Lymphocyte percent</t>
  </si>
  <si>
    <t>LBXLYPCT</t>
  </si>
  <si>
    <t>%</t>
  </si>
  <si>
    <t>736-9</t>
  </si>
  <si>
    <t>https://loinc.org/736-9</t>
  </si>
  <si>
    <t>Monocyte percent</t>
  </si>
  <si>
    <t>LBXMOPCT</t>
  </si>
  <si>
    <t>5905-5</t>
  </si>
  <si>
    <t>https://loinc.org/5905-5</t>
  </si>
  <si>
    <t>Neutrophil percent</t>
  </si>
  <si>
    <t>LBXNEPCT</t>
  </si>
  <si>
    <t>770-8</t>
  </si>
  <si>
    <t>https://loinc.org/770-8</t>
  </si>
  <si>
    <t>Eosinophil percent</t>
  </si>
  <si>
    <t>LBXEOPCT</t>
  </si>
  <si>
    <t>713-8</t>
  </si>
  <si>
    <t>https://loinc.org/713-8</t>
  </si>
  <si>
    <t>Basophil percent</t>
  </si>
  <si>
    <t>LBXBAPCT</t>
  </si>
  <si>
    <t>706-2</t>
  </si>
  <si>
    <t>https://loinc.org/706-2</t>
  </si>
  <si>
    <t>Red blood cell count</t>
  </si>
  <si>
    <t>LBXRBCSI</t>
  </si>
  <si>
    <t>10^6 cells/µL</t>
  </si>
  <si>
    <t>789-8</t>
  </si>
  <si>
    <t>G8</t>
  </si>
  <si>
    <t>HP:0001877</t>
  </si>
  <si>
    <t>Abnormal erythrocyte morphology</t>
  </si>
  <si>
    <t>https://loinc.org/789-8</t>
  </si>
  <si>
    <t>https://hpo.jax.org/browse/term/HP:0001877</t>
  </si>
  <si>
    <t>Hematocrit</t>
  </si>
  <si>
    <t>LBXHCT</t>
  </si>
  <si>
    <t>4544-3</t>
  </si>
  <si>
    <t>https://loinc.org/4544-3</t>
  </si>
  <si>
    <t>Mean corpuscular volume (MCV)</t>
  </si>
  <si>
    <t>LBXMCVSI</t>
  </si>
  <si>
    <t>fL</t>
  </si>
  <si>
    <t>787-2</t>
  </si>
  <si>
    <t>https://loinc.org/787-2</t>
  </si>
  <si>
    <t>Red cell distribution width (RDW)</t>
  </si>
  <si>
    <t>LBXRDW</t>
  </si>
  <si>
    <t>788-0</t>
  </si>
  <si>
    <t>https://loinc.org/788-0</t>
  </si>
  <si>
    <t>Nucleated red blood cells (NRBC)</t>
  </si>
  <si>
    <t>LBXNRBC</t>
  </si>
  <si>
    <t>/100 WBC</t>
  </si>
  <si>
    <t>58413-6</t>
  </si>
  <si>
    <t>https://loinc.org/58413-6</t>
  </si>
  <si>
    <t>Mean platelet volume (MPV)</t>
  </si>
  <si>
    <t>LBXMPSI</t>
  </si>
  <si>
    <t>32623-1</t>
  </si>
  <si>
    <t>G9</t>
  </si>
  <si>
    <t>HP:0011876</t>
  </si>
  <si>
    <t>Abnormal platelet volume</t>
  </si>
  <si>
    <t>https://loinc.org/32623-1</t>
  </si>
  <si>
    <t>https://hpo.jax.org/browse/term/HP:0011876</t>
  </si>
  <si>
    <t>Glycohemoglobin (HbA1c)</t>
  </si>
  <si>
    <t>GHB_L</t>
  </si>
  <si>
    <t>LBXGH</t>
  </si>
  <si>
    <t>4548-4</t>
  </si>
  <si>
    <t>https://wwwn.cdc.gov/Nchs/Data/Nhanes/Public/2021/DataFiles/GHB_L.htm</t>
  </si>
  <si>
    <t>https://loinc.org/4548-4</t>
  </si>
  <si>
    <t>High-sensitivity C-reactive protein (hs-CRP)</t>
  </si>
  <si>
    <t>HSCRP_L</t>
  </si>
  <si>
    <t>LBXHSCRP</t>
  </si>
  <si>
    <t>mg/L</t>
  </si>
  <si>
    <t>30522-7</t>
  </si>
  <si>
    <t>G11</t>
  </si>
  <si>
    <t>HP:0032436</t>
  </si>
  <si>
    <t>Abnormal circulating C-reactive protein concentration</t>
  </si>
  <si>
    <t>https://wwwn.cdc.gov/Nchs/Data/Nhanes/Public/2021/DataFiles/HSCRP_L.htm</t>
  </si>
  <si>
    <t>https://loinc.org/30522-7</t>
  </si>
  <si>
    <t>https://hpo.jax.org/browse/term/HP:0032436</t>
  </si>
  <si>
    <t>25-hydroxyvitamin D2 + D3</t>
  </si>
  <si>
    <t>VID_L</t>
  </si>
  <si>
    <t>LBXVIDMS</t>
  </si>
  <si>
    <t>nmol/L</t>
  </si>
  <si>
    <t>68438-1</t>
  </si>
  <si>
    <t>G12</t>
  </si>
  <si>
    <t>HP:0100511</t>
  </si>
  <si>
    <t>Abnormal circulating vitamin D concentration</t>
  </si>
  <si>
    <t>https://wwwn.cdc.gov/Nchs/Data/Nhanes/Public/2021/DataFiles/VID_L.htm</t>
  </si>
  <si>
    <t>https://loinc.org/68438-1</t>
  </si>
  <si>
    <t>https://hpo.jax.org/browse/term/HP:0100511</t>
  </si>
  <si>
    <t>Panel</t>
  </si>
  <si>
    <t>Raw attributes d</t>
  </si>
  <si>
    <t>Semantic dimensions m_d</t>
  </si>
  <si>
    <t>Compression d/m_d</t>
  </si>
  <si>
    <t>Largest group</t>
  </si>
  <si>
    <t>Group-size profile</t>
  </si>
  <si>
    <t>Random baseline rule</t>
  </si>
  <si>
    <t>4,2,2,2</t>
  </si>
  <si>
    <t>Reuse fixed 100 structural-control partitions</t>
  </si>
  <si>
    <t>7,4,4,3,2</t>
  </si>
  <si>
    <t>100 fixed size-profile-matched partitions</t>
  </si>
  <si>
    <t>7,6,6,5,5,3,2,1,1,1,1,1</t>
  </si>
  <si>
    <t>Notes</t>
  </si>
  <si>
    <t>Shared D10 mappings remain unchanged across D20/D40</t>
  </si>
  <si>
    <t>Group</t>
  </si>
  <si>
    <t>D10 size</t>
  </si>
  <si>
    <t>D20 size</t>
  </si>
  <si>
    <t>D40 size</t>
  </si>
  <si>
    <t>D10 members</t>
  </si>
  <si>
    <t>D20 members</t>
  </si>
  <si>
    <t>D40 members</t>
  </si>
  <si>
    <t>Sodium; Chloride; Magnesium; Phosphate (phosphorus)</t>
  </si>
  <si>
    <t>Sodium; Chloride; Magnesium; Phosphate (phosphorus); Potassium; Bicarbonate; Total calcium</t>
  </si>
  <si>
    <t>Creatinine; Urea nitrogen (BUN)</t>
  </si>
  <si>
    <t>Creatinine; Urea nitrogen (BUN); Uric acid</t>
  </si>
  <si>
    <t>Glucose; Albumin</t>
  </si>
  <si>
    <t>Glucose; Albumin; Total protein; Total bilirubin</t>
  </si>
  <si>
    <t>Glucose; Albumin; Total protein; Total bilirubin; Glycohemoglobin (HbA1c)</t>
  </si>
  <si>
    <t>Hemoglobin; Platelet count</t>
  </si>
  <si>
    <t>Alanine aminotransferase (ALT); Aspartate aminotransferase (AST); Alkaline phosphatase (ALP); Gamma-glutamyl transferase (GGT)</t>
  </si>
  <si>
    <t>Alanine aminotransferase (ALT); Aspartate aminotransferase (AST); Alkaline phosphatase (ALP); Gamma-glutamyl transferase (GGT); Creatine kinase (CK/CPK); Lactate dehydrogenase (LDH)</t>
  </si>
  <si>
    <t>Total cholesterol; HDL cholesterol</t>
  </si>
  <si>
    <t>White blood cell count; Lymphocyte percent; Monocyte percent; Neutrophil percent; Eosinophil percent; Basophil percent</t>
  </si>
  <si>
    <t>Red blood cell count; Hematocrit; Mean corpuscular volume (MCV); Red cell distribution width (RDW); Nucleated red blood cells (NRBC)</t>
  </si>
  <si>
    <t>Unit</t>
  </si>
  <si>
    <t>Panel added</t>
  </si>
  <si>
    <t>Rule type</t>
  </si>
  <si>
    <t>Context variables</t>
  </si>
  <si>
    <t>Lower threshold</t>
  </si>
  <si>
    <t>Upper threshold</t>
  </si>
  <si>
    <t>Abnormal logic</t>
  </si>
  <si>
    <t>Source ID</t>
  </si>
  <si>
    <t>Rule status</t>
  </si>
  <si>
    <t>Dataset scope</t>
  </si>
  <si>
    <t>Frozen normal rule</t>
  </si>
  <si>
    <t>Source URL</t>
  </si>
  <si>
    <t>Public reference interval</t>
  </si>
  <si>
    <t>None (age ≥1 eligibility)</t>
  </si>
  <si>
    <t>135</t>
  </si>
  <si>
    <t>145</t>
  </si>
  <si>
    <t>x &lt; 135 OR x &gt; 145</t>
  </si>
  <si>
    <t>S01</t>
  </si>
  <si>
    <t>Shared D10 rule used for PIC and NHANES; do not change after rerun begins.</t>
  </si>
  <si>
    <t>PIC + NHANES</t>
  </si>
  <si>
    <t>≥1y: 135–145</t>
  </si>
  <si>
    <t>https://www.mayocliniclabs.com/test-catalog/overview/113630</t>
  </si>
  <si>
    <t>Age</t>
  </si>
  <si>
    <t>Context-specific</t>
  </si>
  <si>
    <t>Outside the matched Rule_Lookup interval/decision criterion</t>
  </si>
  <si>
    <t>1–17y: 102–112; ≥18y: 98–107</t>
  </si>
  <si>
    <t>S02</t>
  </si>
  <si>
    <t>1–2y: 1.6–2.7; 3–5y: 1.6–2.6; 6–8y: 1.6–2.5; 9–11y: 1.6–2.4; 12–17y: 1.6–2.3; ≥18y: 1.7–2.3</t>
  </si>
  <si>
    <t>https://www.mayocliniclabs.com/test-catalog/overview/8448</t>
  </si>
  <si>
    <t>Age + sex</t>
  </si>
  <si>
    <t>S03</t>
  </si>
  <si>
    <t>M 1–4y: 4.3–5.4; M 5–13y: 3.7–5.4; M 14–15y: 3.5–5.3; M 16–17y: 3.1–4.7; M ≥18y: 2.5–4.5; F 1–7y: 4.3–5.4; F 8–13y: 4–5.2; F 14–15y: 3.5–4.9; F 16–17y: 3.1–4.7; F ≥18y: 2.5–4.5</t>
  </si>
  <si>
    <t>https://www.mayocliniclabs.com/test-catalog/Overview/8408</t>
  </si>
  <si>
    <t>M 1–5y: 0.19–0.49; M 6–10y: 0.26–0.61; M 11–14y: 0.35–0.86; M ≥15y: 0.74–1.35; F 1–5y: 0.19–0.49; F 6–10y: 0.26–0.61; F 11–15y: 0.35–0.86; F ≥16y: 0.59–1.04</t>
  </si>
  <si>
    <t>1–17y: 7–20; M ≥18y: 8–24; F ≥18y: 6–21</t>
  </si>
  <si>
    <t>70</t>
  </si>
  <si>
    <t>140</t>
  </si>
  <si>
    <t>x &lt; 70 OR x &gt; 140</t>
  </si>
  <si>
    <t>Shared D10 rule used for PIC and NHANES; do not change after rerun begins. Uses non-fasting/random glucose reference interval (70–140 mg/dL), not fasting glucose cutoffs.</t>
  </si>
  <si>
    <t>≥1y: 70–140</t>
  </si>
  <si>
    <t>3.5</t>
  </si>
  <si>
    <t>5.0</t>
  </si>
  <si>
    <t>x &lt; 3.5 OR x &gt; 5.0</t>
  </si>
  <si>
    <t>S04</t>
  </si>
  <si>
    <t>≥1y: 3.5–5</t>
  </si>
  <si>
    <t>https://www.mayocliniclabs.com/test-catalog/overview/113634</t>
  </si>
  <si>
    <t>S05</t>
  </si>
  <si>
    <t>M 1y: 10.1–12.5; M 2y: 10.2–12.7; M 3–5y: 11.4–14.3; M 6–8y: 11.5–14.3; M 9–10y: 11.8–14.7; M 11–14y: 12.4–15.7; M 15–17y: 13.3–16.9; M ≥18y: 13.2–16.6; F 1–2y: 10.2–12.7; F 3–5y: 11.4–14.3; F 6–8y: 11.5–14.3; F 9–10y: 11.8–14.7; F 11–17y: 11.9–14.8; F ≥18y: 11.6–15</t>
  </si>
  <si>
    <t>https://www.mayocliniclabs.com/test-catalog/Overview/801417</t>
  </si>
  <si>
    <t>S06</t>
  </si>
  <si>
    <t>M 1y: 206–445; M 2y: 202–403; M 3–5y: 187–445; M 6–9y: 187–400; M 10–13y: 177–381; M 14–17y: 139–320; M ≥18y: 135–317; F 1y: 214–459; F 2y: 189–394; F 3–5y: 187–445; F 6–9y: 187–400; F 10–13y: 177–381; F 14–17y: 158–362; F ≥18y: 157–371</t>
  </si>
  <si>
    <t>https://www.mayocliniclabs.com/test-catalog/overview/9109</t>
  </si>
  <si>
    <t>None (adult cohort)</t>
  </si>
  <si>
    <t>3.6</t>
  </si>
  <si>
    <t>5.2</t>
  </si>
  <si>
    <t>x &lt; 3.6 OR x &gt; 5.2</t>
  </si>
  <si>
    <t>NHANES adult scalability rule; do not change after rerun begins.</t>
  </si>
  <si>
    <t>NHANES adults</t>
  </si>
  <si>
    <t>3.6–5.2</t>
  </si>
  <si>
    <t>22</t>
  </si>
  <si>
    <t>29</t>
  </si>
  <si>
    <t>x &lt; 22 OR x &gt; 29</t>
  </si>
  <si>
    <t>22–29</t>
  </si>
  <si>
    <t>18–59y: 8.6–10; ≥60y: 8.8–10.2</t>
  </si>
  <si>
    <t>6.3</t>
  </si>
  <si>
    <t>7.9</t>
  </si>
  <si>
    <t>x &lt; 6.3 OR x &gt; 7.9</t>
  </si>
  <si>
    <t>6.3–7.9</t>
  </si>
  <si>
    <t>Sex</t>
  </si>
  <si>
    <t>S07</t>
  </si>
  <si>
    <t>M: 7–55; F: 7–45</t>
  </si>
  <si>
    <t>https://www.mayocliniclabs.com/test-catalog/overview/8362</t>
  </si>
  <si>
    <t>S08</t>
  </si>
  <si>
    <t>M: 8–48; F: 8–43</t>
  </si>
  <si>
    <t>https://www.mayocliniclabs.com/test-catalog/overview/8360</t>
  </si>
  <si>
    <t>S09</t>
  </si>
  <si>
    <t>M 18y: 55–149; M ≥19y: 40–129; F: 35–104</t>
  </si>
  <si>
    <t>https://www.mayocliniclabs.com/test-catalog/Overview/8340</t>
  </si>
  <si>
    <t>S10</t>
  </si>
  <si>
    <t>M: 8–61; F: 5–36</t>
  </si>
  <si>
    <t>https://www.mayocliniclabs.com/test-catalog/Overview/8677</t>
  </si>
  <si>
    <t>0</t>
  </si>
  <si>
    <t>1.2</t>
  </si>
  <si>
    <t>x &lt; 0 OR x &gt; 1.2</t>
  </si>
  <si>
    <t>S11</t>
  </si>
  <si>
    <t>0–1.2</t>
  </si>
  <si>
    <t>https://www.mayocliniclabs.com/test-catalog/Overview/81785</t>
  </si>
  <si>
    <t>S12</t>
  </si>
  <si>
    <t>M: 3.7–8; F: 2.7–6.1</t>
  </si>
  <si>
    <t>https://www.mayocliniclabs.com/test-catalog/overview/8440</t>
  </si>
  <si>
    <t>S13</t>
  </si>
  <si>
    <t>M: 39–308; F: 26–192</t>
  </si>
  <si>
    <t>https://www.mayocliniclabs.com/test-catalog/Overview/8336</t>
  </si>
  <si>
    <t>122</t>
  </si>
  <si>
    <t>222</t>
  </si>
  <si>
    <t>x &lt; 122 OR x &gt; 222</t>
  </si>
  <si>
    <t>S14</t>
  </si>
  <si>
    <t>122–222</t>
  </si>
  <si>
    <t>https://www.mayocliniclabs.com/test-catalog/overview/8344</t>
  </si>
  <si>
    <t>S15</t>
  </si>
  <si>
    <t>M: 50–150; F: 35–145</t>
  </si>
  <si>
    <t>https://www.mayocliniclabs.com/test-catalog/overview/2502</t>
  </si>
  <si>
    <t>Clinical decision rule</t>
  </si>
  <si>
    <t>200</t>
  </si>
  <si>
    <t>x &gt;= 200</t>
  </si>
  <si>
    <t>S16</t>
  </si>
  <si>
    <t>&lt;200</t>
  </si>
  <si>
    <t>https://www.mayocliniclabs.com/test-catalog/Overview/616696</t>
  </si>
  <si>
    <t>M: ≥40; F: ≥50</t>
  </si>
  <si>
    <t>S21</t>
  </si>
  <si>
    <t>NHANES adult scalability rule; do not change after rerun begins. Uses a prespecified public Beckman Coulter adult whole-blood range as a research categorization rule; not claimed as a locally validated NHANES clinical interval.</t>
  </si>
  <si>
    <t>M: 3.6–10.2; F: 3.8–11.8</t>
  </si>
  <si>
    <t>https://www.beckmancoulter.com/download/file/wsr-262438/C06947AC?type=pdf</t>
  </si>
  <si>
    <t>M: 15.2–43.3; F: 16–45.9</t>
  </si>
  <si>
    <t>M: 5.5–13.7; F: 4.3–10.9</t>
  </si>
  <si>
    <t>M: 43.5–73.5; F: 42.7–76.8</t>
  </si>
  <si>
    <t>M: 0.8–8.1; F: 0.5–7</t>
  </si>
  <si>
    <t>M: 0.2–1.5; F: 0.2–1.3</t>
  </si>
  <si>
    <t>M: 4.06–5.63; F: 3.63–4.92</t>
  </si>
  <si>
    <t>M: 36.7–47.1; F: 31.2–41.9</t>
  </si>
  <si>
    <t>M: 73–96.2; F: 75.5–95.3</t>
  </si>
  <si>
    <t>M: 12.1–16.2; F: 12.3–17.7</t>
  </si>
  <si>
    <t>M: 0–0.6; F: 0–0.3</t>
  </si>
  <si>
    <t>M: 7.4–11.4; F: 7.9–10.8</t>
  </si>
  <si>
    <t>5.7</t>
  </si>
  <si>
    <t>x &gt;= 5.7</t>
  </si>
  <si>
    <t>S17</t>
  </si>
  <si>
    <t>NHANES adult scalability rule; do not change after rerun begins. Prediabetes and diabetes ranges are both collapsed to the abnormal state.</t>
  </si>
  <si>
    <t>&lt;5.7</t>
  </si>
  <si>
    <t>https://www.cdc.gov/diabetes/diabetes-testing/prediabetes-a1c-test.html</t>
  </si>
  <si>
    <t>2.0</t>
  </si>
  <si>
    <t>x &gt;= 2.0</t>
  </si>
  <si>
    <t>S18</t>
  </si>
  <si>
    <t>NHANES adult scalability rule; do not change after rerun begins. Risk-oriented hs-CRP decision rule, not a diagnostic inflammation cutoff.</t>
  </si>
  <si>
    <t>&lt;2</t>
  </si>
  <si>
    <t>https://www.mayocliniclabs.com/test-catalog/Overview/800024</t>
  </si>
  <si>
    <t>50</t>
  </si>
  <si>
    <t>125</t>
  </si>
  <si>
    <t>x &lt; 50 OR x &gt; 125</t>
  </si>
  <si>
    <t>S19</t>
  </si>
  <si>
    <t>NHANES adult scalability rule; do not change after rerun begins. 50–125 nmol/L is the frozen adequate band; outside this band is abnormal.</t>
  </si>
  <si>
    <t>50–125</t>
  </si>
  <si>
    <t>https://ods.od.nih.gov/factsheets/VitaminD-HealthProfessional/</t>
  </si>
  <si>
    <t>Candidate</t>
  </si>
  <si>
    <t>NHANES source</t>
  </si>
  <si>
    <t>Reason excluded</t>
  </si>
  <si>
    <t>Decision</t>
  </si>
  <si>
    <t>Triglycerides (TRIGLY_L LBXTLG)</t>
  </si>
  <si>
    <t>TRIGLY_L</t>
  </si>
  <si>
    <t>Morning-session fasting subsample; violates the no-special-subsample criterion</t>
  </si>
  <si>
    <t>EXCLUDE</t>
  </si>
  <si>
    <t>LDL cholesterol (all released LDL variables)</t>
  </si>
  <si>
    <t>Calculated from total cholesterol, triglycerides, and HDL; not directly measured</t>
  </si>
  <si>
    <t>BIOPRO triglycerides (LBXSTR)</t>
  </si>
  <si>
    <t>CDC states reference-method triglyceride result should generally be used; retained BIOPRO value is not recommended routinely</t>
  </si>
  <si>
    <t>BIOPRO total cholesterol (LBXSCH)</t>
  </si>
  <si>
    <t>CDC recommends the reference-method TCHOL_L result instead; use LBXTC</t>
  </si>
  <si>
    <t>Globulin (LBXSGB)</t>
  </si>
  <si>
    <t>Calculated from total protein minus albumin</t>
  </si>
  <si>
    <t>Calculated osmolality (LBXSOSSI)</t>
  </si>
  <si>
    <t>Calculated from sodium, glucose, and BUN</t>
  </si>
  <si>
    <t>CBC absolute differential counts (LBDLYMNO/LBDMONO/LBDNENO/LBDEONO/LBDBANO)</t>
  </si>
  <si>
    <t>CDC explicitly lists these five variables as derived from WBC × differential percentage</t>
  </si>
  <si>
    <t>MCH / MCHC</t>
  </si>
  <si>
    <t>Strong algebraic redundancy with RBC/HGB/HCT/MCV; omitted to avoid unnecessary deterministic structure</t>
  </si>
  <si>
    <t>Ferritin / transferrin receptor</t>
  </si>
  <si>
    <t>FERTIN_L / TFR_L</t>
  </si>
  <si>
    <t>Restricted target population in this cycle; not suitable for the common fixed-cohort expansion</t>
  </si>
  <si>
    <t>Source type</t>
  </si>
  <si>
    <t>Resource</t>
  </si>
  <si>
    <t>URL</t>
  </si>
  <si>
    <t>Use in configuration</t>
  </si>
  <si>
    <t>Manuscript</t>
  </si>
  <si>
    <t>Current 16-page BDCC draft</t>
  </si>
  <si>
    <t>Source file: 38062397-20ca-4559-ace6-dd403e8785d3.pdf</t>
  </si>
  <si>
    <t>Base D10 mapping and scalability criteria</t>
  </si>
  <si>
    <t>CDC NHANES</t>
  </si>
  <si>
    <t>General biochemistry variables; eligibility; direct/derived notes</t>
  </si>
  <si>
    <t>CBC variables; eligibility; derived absolute differential counts</t>
  </si>
  <si>
    <t>Direct total cholesterol; preferred over BIOPRO total cholesterol</t>
  </si>
  <si>
    <t>Direct HDL cholesterol</t>
  </si>
  <si>
    <t>HbA1c / glycohemoglobin</t>
  </si>
  <si>
    <t>High-sensitivity CRP</t>
  </si>
  <si>
    <t>LOINC</t>
  </si>
  <si>
    <t>LOINC term pages</t>
  </si>
  <si>
    <t>https://loinc.org/</t>
  </si>
  <si>
    <t>Standardized observation identifiers</t>
  </si>
  <si>
    <t>HPO</t>
  </si>
  <si>
    <t>Human Phenotype Ontology browser</t>
  </si>
  <si>
    <t>https://hpo.jax.org/</t>
  </si>
  <si>
    <t>Semantic anchor identifiers and official names</t>
  </si>
  <si>
    <t>Decision-rule provenance</t>
  </si>
  <si>
    <t>See Rule_Sources sheet</t>
  </si>
  <si>
    <t>Rule_Sources</t>
  </si>
  <si>
    <t>Numerical threshold/decision-rule sources for the frozen final configuration</t>
  </si>
  <si>
    <t>KGR-LDP D10/D20/D40 Attribute + Decision-Rule Configuration — FINAL FREEZE</t>
  </si>
  <si>
    <t>Freeze date</t>
  </si>
  <si>
    <t>2026-09-06</t>
  </si>
  <si>
    <t>Freeze scope</t>
  </si>
  <si>
    <t>Attribute panels, NHANES variable IDs, units, LOINC/HPO mappings, semantic groups, D10/D20/D40 nesting, and all numerical normal/abnormal rules in Rule_Lookup.</t>
  </si>
  <si>
    <t>d=10, m10=4, compression=2.50. D10 rules are shared across PIC and NHANES and include age/sex stratification where required.</t>
  </si>
  <si>
    <t>d=20, m20=5, compression=4.00. Added attributes 11–20; D20/D40 threshold rules apply to the fixed NHANES adult cohort.</t>
  </si>
  <si>
    <t>d=40, m40=12, compression=3.33. Added attributes 21–40.</t>
  </si>
  <si>
    <t>Source of truth</t>
  </si>
  <si>
    <t>Rule_Lookup is the executable threshold table. Decision_Rules is the human-readable summary. Rule_Sources stores the public provenance URLs.</t>
  </si>
  <si>
    <t>State assignment</t>
  </si>
  <si>
    <t>If the laboratory value is missing, set attribute state to NA. If observed, select exactly one matching Rule_Lookup row by attribute + age + sex, then assign normal/abnormal from that row.</t>
  </si>
  <si>
    <t>Context check</t>
  </si>
  <si>
    <t>Age and sex are local context variables only when a rule requires them. If a required context field is unavailable or no rule matches, STOP and flag the record/configuration; do not silently default to normal or abnormal.</t>
  </si>
  <si>
    <t>Boundary handling</t>
  </si>
  <si>
    <t>Lower/upper inclusivity is explicitly stored in Rule_Lookup. Reference-interval endpoints are inclusive unless specified otherwise. Decision rules such as total cholesterol, HbA1c and hs-CRP use the exact inequalities shown.</t>
  </si>
  <si>
    <t>Fixed cohort rule</t>
  </si>
  <si>
    <t>Use the same NHANES adult analysis cohort for D10/D20/D40; retain item-level missingness; no complete-case filtering.</t>
  </si>
  <si>
    <t>Random control rule</t>
  </si>
  <si>
    <t>Reuse the D10 fixed random partitions from Section 3.1; generate separate fixed size-profile-matched sets for D20 and D40.</t>
  </si>
  <si>
    <t>Clinical interpretation</t>
  </si>
  <si>
    <t>These thresholds are frozen algorithmic categorization rules for reproducible research. They are not patient-specific diagnostic recommendations and are not locally validated clinical reference intervals.</t>
  </si>
  <si>
    <t>Execution rule</t>
  </si>
  <si>
    <t>Once the final rerun starts, do not modify any threshold, source, mapping, group membership, boundary convention, or cohort rule without restarting all affected experiments.</t>
  </si>
  <si>
    <t>Status</t>
  </si>
  <si>
    <t>ATTRIBUTE CONFIGURATION: FROZEN | DECISION RULES: FROZEN | READY FOR FINAL RERUN</t>
  </si>
  <si>
    <t>Rule key</t>
  </si>
  <si>
    <t>Attribute ID</t>
  </si>
  <si>
    <t>Age min (yr, inclusive)</t>
  </si>
  <si>
    <t>Age max (yr, exclusive)</t>
  </si>
  <si>
    <t>Lower</t>
  </si>
  <si>
    <t>Lower inclusive</t>
  </si>
  <si>
    <t>Upper</t>
  </si>
  <si>
    <t>Upper inclusive</t>
  </si>
  <si>
    <t>Normal rule</t>
  </si>
  <si>
    <t>Abnormal rule</t>
  </si>
  <si>
    <t>Implementation note</t>
  </si>
  <si>
    <t>A01_Any_1_INF</t>
  </si>
  <si>
    <t>Any</t>
  </si>
  <si>
    <t>x &gt;= 135 AND x &lt;= 145</t>
  </si>
  <si>
    <t>Public reference interval; age &gt;=1 year.</t>
  </si>
  <si>
    <t>A02_Any_1_18</t>
  </si>
  <si>
    <t>x &gt;= 102 AND x &lt;= 112</t>
  </si>
  <si>
    <t>x &lt; 102 OR x &gt; 112</t>
  </si>
  <si>
    <t>A02_Any_18_INF</t>
  </si>
  <si>
    <t>x &gt;= 98 AND x &lt;= 107</t>
  </si>
  <si>
    <t>x &lt; 98 OR x &gt; 107</t>
  </si>
  <si>
    <t>A03_Any_1_3</t>
  </si>
  <si>
    <t>x &gt;= 1.6 AND x &lt;= 2.7</t>
  </si>
  <si>
    <t>x &lt; 1.6 OR x &gt; 2.7</t>
  </si>
  <si>
    <t>A03_Any_3_6</t>
  </si>
  <si>
    <t>x &gt;= 1.6 AND x &lt;= 2.6</t>
  </si>
  <si>
    <t>x &lt; 1.6 OR x &gt; 2.6</t>
  </si>
  <si>
    <t>A03_Any_6_9</t>
  </si>
  <si>
    <t>x &gt;= 1.6 AND x &lt;= 2.5</t>
  </si>
  <si>
    <t>x &lt; 1.6 OR x &gt; 2.5</t>
  </si>
  <si>
    <t>A03_Any_9_12</t>
  </si>
  <si>
    <t>x &gt;= 1.6 AND x &lt;= 2.4</t>
  </si>
  <si>
    <t>x &lt; 1.6 OR x &gt; 2.4</t>
  </si>
  <si>
    <t>A03_Any_12_18</t>
  </si>
  <si>
    <t>x &gt;= 1.6 AND x &lt;= 2.3</t>
  </si>
  <si>
    <t>x &lt; 1.6 OR x &gt; 2.3</t>
  </si>
  <si>
    <t>A03_Any_18_INF</t>
  </si>
  <si>
    <t>x &gt;= 1.7 AND x &lt;= 2.3</t>
  </si>
  <si>
    <t>x &lt; 1.7 OR x &gt; 2.3</t>
  </si>
  <si>
    <t>A04_Male_1_5</t>
  </si>
  <si>
    <t>Male</t>
  </si>
  <si>
    <t>x &gt;= 4.3 AND x &lt;= 5.4</t>
  </si>
  <si>
    <t>x &lt; 4.3 OR x &gt; 5.4</t>
  </si>
  <si>
    <t>A04_Male_5_14</t>
  </si>
  <si>
    <t>x &gt;= 3.7 AND x &lt;= 5.4</t>
  </si>
  <si>
    <t>x &lt; 3.7 OR x &gt; 5.4</t>
  </si>
  <si>
    <t>A04_Male_14_16</t>
  </si>
  <si>
    <t>x &gt;= 3.5 AND x &lt;= 5.3</t>
  </si>
  <si>
    <t>x &lt; 3.5 OR x &gt; 5.3</t>
  </si>
  <si>
    <t>A04_Male_16_18</t>
  </si>
  <si>
    <t>x &gt;= 3.1 AND x &lt;= 4.7</t>
  </si>
  <si>
    <t>x &lt; 3.1 OR x &gt; 4.7</t>
  </si>
  <si>
    <t>A04_Male_18_INF</t>
  </si>
  <si>
    <t>x &gt;= 2.5 AND x &lt;= 4.5</t>
  </si>
  <si>
    <t>x &lt; 2.5 OR x &gt; 4.5</t>
  </si>
  <si>
    <t>A04_Female_1_8</t>
  </si>
  <si>
    <t>Female</t>
  </si>
  <si>
    <t>A04_Female_8_14</t>
  </si>
  <si>
    <t>x &gt;= 4.0 AND x &lt;= 5.2</t>
  </si>
  <si>
    <t>x &lt; 4.0 OR x &gt; 5.2</t>
  </si>
  <si>
    <t>A04_Female_14_16</t>
  </si>
  <si>
    <t>x &gt;= 3.5 AND x &lt;= 4.9</t>
  </si>
  <si>
    <t>x &lt; 3.5 OR x &gt; 4.9</t>
  </si>
  <si>
    <t>A04_Female_16_18</t>
  </si>
  <si>
    <t>A04_Female_18_INF</t>
  </si>
  <si>
    <t>A05_Male_1_6</t>
  </si>
  <si>
    <t>x &gt;= 0.19 AND x &lt;= 0.49</t>
  </si>
  <si>
    <t>x &lt; 0.19 OR x &gt; 0.49</t>
  </si>
  <si>
    <t>A05_Male_6_11</t>
  </si>
  <si>
    <t>x &gt;= 0.26 AND x &lt;= 0.61</t>
  </si>
  <si>
    <t>x &lt; 0.26 OR x &gt; 0.61</t>
  </si>
  <si>
    <t>A05_Male_11_15</t>
  </si>
  <si>
    <t>x &gt;= 0.35 AND x &lt;= 0.86</t>
  </si>
  <si>
    <t>x &lt; 0.35 OR x &gt; 0.86</t>
  </si>
  <si>
    <t>A05_Male_15_INF</t>
  </si>
  <si>
    <t>x &gt;= 0.74 AND x &lt;= 1.35</t>
  </si>
  <si>
    <t>x &lt; 0.74 OR x &gt; 1.35</t>
  </si>
  <si>
    <t>A05_Female_1_6</t>
  </si>
  <si>
    <t>A05_Female_6_11</t>
  </si>
  <si>
    <t>A05_Female_11_16</t>
  </si>
  <si>
    <t>A05_Female_16_INF</t>
  </si>
  <si>
    <t>x &gt;= 0.59 AND x &lt;= 1.04</t>
  </si>
  <si>
    <t>x &lt; 0.59 OR x &gt; 1.04</t>
  </si>
  <si>
    <t>A06_Any_1_18</t>
  </si>
  <si>
    <t>x &gt;= 7 AND x &lt;= 20</t>
  </si>
  <si>
    <t>x &lt; 7 OR x &gt; 20</t>
  </si>
  <si>
    <t>A06_Male_18_INF</t>
  </si>
  <si>
    <t>x &gt;= 8 AND x &lt;= 24</t>
  </si>
  <si>
    <t>x &lt; 8 OR x &gt; 24</t>
  </si>
  <si>
    <t>A06_Female_18_INF</t>
  </si>
  <si>
    <t>x &gt;= 6 AND x &lt;= 21</t>
  </si>
  <si>
    <t>x &lt; 6 OR x &gt; 21</t>
  </si>
  <si>
    <t>A07_Any_1_INF</t>
  </si>
  <si>
    <t>x &gt;= 70 AND x &lt;= 140</t>
  </si>
  <si>
    <t>Random/non-fasting serum glucose reference interval; do not substitute fasting thresholds.</t>
  </si>
  <si>
    <t>A08_Any_1_INF</t>
  </si>
  <si>
    <t>x &gt;= 3.5 AND x &lt;= 5.0</t>
  </si>
  <si>
    <t>A09_Male_1_2</t>
  </si>
  <si>
    <t>x &gt;= 10.1 AND x &lt;= 12.5</t>
  </si>
  <si>
    <t>x &lt; 10.1 OR x &gt; 12.5</t>
  </si>
  <si>
    <t>A09_Male_2_3</t>
  </si>
  <si>
    <t>x &gt;= 10.2 AND x &lt;= 12.7</t>
  </si>
  <si>
    <t>x &lt; 10.2 OR x &gt; 12.7</t>
  </si>
  <si>
    <t>A09_Male_3_6</t>
  </si>
  <si>
    <t>x &gt;= 11.4 AND x &lt;= 14.3</t>
  </si>
  <si>
    <t>x &lt; 11.4 OR x &gt; 14.3</t>
  </si>
  <si>
    <t>A09_Male_6_9</t>
  </si>
  <si>
    <t>x &gt;= 11.5 AND x &lt;= 14.3</t>
  </si>
  <si>
    <t>x &lt; 11.5 OR x &gt; 14.3</t>
  </si>
  <si>
    <t>A09_Male_9_11</t>
  </si>
  <si>
    <t>x &gt;= 11.8 AND x &lt;= 14.7</t>
  </si>
  <si>
    <t>x &lt; 11.8 OR x &gt; 14.7</t>
  </si>
  <si>
    <t>A09_Male_11_15</t>
  </si>
  <si>
    <t>x &gt;= 12.4 AND x &lt;= 15.7</t>
  </si>
  <si>
    <t>x &lt; 12.4 OR x &gt; 15.7</t>
  </si>
  <si>
    <t>A09_Male_15_18</t>
  </si>
  <si>
    <t>x &gt;= 13.3 AND x &lt;= 16.9</t>
  </si>
  <si>
    <t>x &lt; 13.3 OR x &gt; 16.9</t>
  </si>
  <si>
    <t>A09_Male_18_INF</t>
  </si>
  <si>
    <t>x &gt;= 13.2 AND x &lt;= 16.6</t>
  </si>
  <si>
    <t>x &lt; 13.2 OR x &gt; 16.6</t>
  </si>
  <si>
    <t>A09_Female_1_3</t>
  </si>
  <si>
    <t>A09_Female_3_6</t>
  </si>
  <si>
    <t>A09_Female_6_9</t>
  </si>
  <si>
    <t>A09_Female_9_11</t>
  </si>
  <si>
    <t>A09_Female_11_18</t>
  </si>
  <si>
    <t>x &gt;= 11.9 AND x &lt;= 14.8</t>
  </si>
  <si>
    <t>x &lt; 11.9 OR x &gt; 14.8</t>
  </si>
  <si>
    <t>A09_Female_18_INF</t>
  </si>
  <si>
    <t>x &gt;= 11.6 AND x &lt;= 15.0</t>
  </si>
  <si>
    <t>x &lt; 11.6 OR x &gt; 15.0</t>
  </si>
  <si>
    <t>A10_Male_1_2</t>
  </si>
  <si>
    <t>x &gt;= 206 AND x &lt;= 445</t>
  </si>
  <si>
    <t>x &lt; 206 OR x &gt; 445</t>
  </si>
  <si>
    <t>Mayo reports x10^9/L; numerically identical to 10^3 cells/µL.</t>
  </si>
  <si>
    <t>A10_Male_2_3</t>
  </si>
  <si>
    <t>x &gt;= 202 AND x &lt;= 403</t>
  </si>
  <si>
    <t>x &lt; 202 OR x &gt; 403</t>
  </si>
  <si>
    <t>A10_Male_3_6</t>
  </si>
  <si>
    <t>x &gt;= 187 AND x &lt;= 445</t>
  </si>
  <si>
    <t>x &lt; 187 OR x &gt; 445</t>
  </si>
  <si>
    <t>A10_Male_6_10</t>
  </si>
  <si>
    <t>x &gt;= 187 AND x &lt;= 400</t>
  </si>
  <si>
    <t>x &lt; 187 OR x &gt; 400</t>
  </si>
  <si>
    <t>A10_Male_10_14</t>
  </si>
  <si>
    <t>x &gt;= 177 AND x &lt;= 381</t>
  </si>
  <si>
    <t>x &lt; 177 OR x &gt; 381</t>
  </si>
  <si>
    <t>A10_Male_14_18</t>
  </si>
  <si>
    <t>x &gt;= 139 AND x &lt;= 320</t>
  </si>
  <si>
    <t>x &lt; 139 OR x &gt; 320</t>
  </si>
  <si>
    <t>A10_Male_18_INF</t>
  </si>
  <si>
    <t>x &gt;= 135 AND x &lt;= 317</t>
  </si>
  <si>
    <t>x &lt; 135 OR x &gt; 317</t>
  </si>
  <si>
    <t>A10_Female_1_2</t>
  </si>
  <si>
    <t>x &gt;= 214 AND x &lt;= 459</t>
  </si>
  <si>
    <t>x &lt; 214 OR x &gt; 459</t>
  </si>
  <si>
    <t>A10_Female_2_3</t>
  </si>
  <si>
    <t>x &gt;= 189 AND x &lt;= 394</t>
  </si>
  <si>
    <t>x &lt; 189 OR x &gt; 394</t>
  </si>
  <si>
    <t>A10_Female_3_6</t>
  </si>
  <si>
    <t>A10_Female_6_10</t>
  </si>
  <si>
    <t>A10_Female_10_14</t>
  </si>
  <si>
    <t>A10_Female_14_18</t>
  </si>
  <si>
    <t>x &gt;= 158 AND x &lt;= 362</t>
  </si>
  <si>
    <t>x &lt; 158 OR x &gt; 362</t>
  </si>
  <si>
    <t>A10_Female_18_INF</t>
  </si>
  <si>
    <t>x &gt;= 157 AND x &lt;= 371</t>
  </si>
  <si>
    <t>x &lt; 157 OR x &gt; 371</t>
  </si>
  <si>
    <t>A11_Any_18_INF</t>
  </si>
  <si>
    <t>x &gt;= 3.6 AND x &lt;= 5.2</t>
  </si>
  <si>
    <t>A12_Any_18_INF</t>
  </si>
  <si>
    <t>x &gt;= 22 AND x &lt;= 29</t>
  </si>
  <si>
    <t>A13_Any_18_60</t>
  </si>
  <si>
    <t>x &gt;= 8.6 AND x &lt;= 10.0</t>
  </si>
  <si>
    <t>x &lt; 8.6 OR x &gt; 10.0</t>
  </si>
  <si>
    <t>A13_Any_60_INF</t>
  </si>
  <si>
    <t>x &gt;= 8.8 AND x &lt;= 10.2</t>
  </si>
  <si>
    <t>x &lt; 8.8 OR x &gt; 10.2</t>
  </si>
  <si>
    <t>NHANES public age is top-coded at 80; the &gt;=60 rule covers the fixed adult cohort.</t>
  </si>
  <si>
    <t>A14_Any_18_INF</t>
  </si>
  <si>
    <t>x &gt;= 6.3 AND x &lt;= 7.9</t>
  </si>
  <si>
    <t>A15_Male_18_INF</t>
  </si>
  <si>
    <t>x &gt;= 7 AND x &lt;= 55</t>
  </si>
  <si>
    <t>x &lt; 7 OR x &gt; 55</t>
  </si>
  <si>
    <t>A15_Female_18_INF</t>
  </si>
  <si>
    <t>x &gt;= 7 AND x &lt;= 45</t>
  </si>
  <si>
    <t>x &lt; 7 OR x &gt; 45</t>
  </si>
  <si>
    <t>A16_Male_18_INF</t>
  </si>
  <si>
    <t>x &gt;= 8 AND x &lt;= 48</t>
  </si>
  <si>
    <t>x &lt; 8 OR x &gt; 48</t>
  </si>
  <si>
    <t>A16_Female_18_INF</t>
  </si>
  <si>
    <t>x &gt;= 8 AND x &lt;= 43</t>
  </si>
  <si>
    <t>x &lt; 8 OR x &gt; 43</t>
  </si>
  <si>
    <t>A17_Male_18_19</t>
  </si>
  <si>
    <t>x &gt;= 55 AND x &lt;= 149</t>
  </si>
  <si>
    <t>x &lt; 55 OR x &gt; 149</t>
  </si>
  <si>
    <t>A17_Male_19_INF</t>
  </si>
  <si>
    <t>x &gt;= 40 AND x &lt;= 129</t>
  </si>
  <si>
    <t>x &lt; 40 OR x &gt; 129</t>
  </si>
  <si>
    <t>A17_Female_18_INF</t>
  </si>
  <si>
    <t>x &gt;= 35 AND x &lt;= 104</t>
  </si>
  <si>
    <t>x &lt; 35 OR x &gt; 104</t>
  </si>
  <si>
    <t>A18_Male_18_INF</t>
  </si>
  <si>
    <t>x &gt;= 8 AND x &lt;= 61</t>
  </si>
  <si>
    <t>x &lt; 8 OR x &gt; 61</t>
  </si>
  <si>
    <t>A18_Female_18_INF</t>
  </si>
  <si>
    <t>x &gt;= 5 AND x &lt;= 36</t>
  </si>
  <si>
    <t>x &lt; 5 OR x &gt; 36</t>
  </si>
  <si>
    <t>A19_Any_18_INF</t>
  </si>
  <si>
    <t>x &gt;= 0 AND x &lt;= 1.2</t>
  </si>
  <si>
    <t>A20_Male_18_INF</t>
  </si>
  <si>
    <t>x &gt;= 3.7 AND x &lt;= 8.0</t>
  </si>
  <si>
    <t>x &lt; 3.7 OR x &gt; 8.0</t>
  </si>
  <si>
    <t>A20_Female_18_INF</t>
  </si>
  <si>
    <t>x &gt;= 2.7 AND x &lt;= 6.1</t>
  </si>
  <si>
    <t>x &lt; 2.7 OR x &gt; 6.1</t>
  </si>
  <si>
    <t>A21_Male_18_INF</t>
  </si>
  <si>
    <t>x &gt;= 39 AND x &lt;= 308</t>
  </si>
  <si>
    <t>x &lt; 39 OR x &gt; 308</t>
  </si>
  <si>
    <t>A21_Female_18_INF</t>
  </si>
  <si>
    <t>x &gt;= 26 AND x &lt;= 192</t>
  </si>
  <si>
    <t>x &lt; 26 OR x &gt; 192</t>
  </si>
  <si>
    <t>A22_Any_18_INF</t>
  </si>
  <si>
    <t>x &gt;= 122 AND x &lt;= 222</t>
  </si>
  <si>
    <t>A23_Male_18_INF</t>
  </si>
  <si>
    <t>x &gt;= 50 AND x &lt;= 150</t>
  </si>
  <si>
    <t>x &lt; 50 OR x &gt; 150</t>
  </si>
  <si>
    <t>A23_Female_18_INF</t>
  </si>
  <si>
    <t>x &gt;= 35 AND x &lt;= 145</t>
  </si>
  <si>
    <t>x &lt; 35 OR x &gt; 145</t>
  </si>
  <si>
    <t>A24_Any_18_INF</t>
  </si>
  <si>
    <t>x &lt; 200</t>
  </si>
  <si>
    <t>Frozen binary rule: desirable (&lt;200) = normal; &gt;=200 = abnormal.</t>
  </si>
  <si>
    <t>A25_Male_18_INF</t>
  </si>
  <si>
    <t>x &gt;= 40</t>
  </si>
  <si>
    <t>x &lt; 40</t>
  </si>
  <si>
    <t>A25_Female_18_INF</t>
  </si>
  <si>
    <t>x &gt;= 50</t>
  </si>
  <si>
    <t>x &lt; 50</t>
  </si>
  <si>
    <t>A26_Male_18_INF</t>
  </si>
  <si>
    <t>x &gt;= 3.6 AND x &lt;= 10.2</t>
  </si>
  <si>
    <t>x &lt; 3.6 OR x &gt; 10.2</t>
  </si>
  <si>
    <t>Prespecified public Beckman Coulter adult whole-blood reference range. NHANES CBC_L uses a Beckman Coulter DxH 800 analyzer; this external range is used only as a frozen research categorization rule and is not claimed to be a locally validated NHANES clinical interval.</t>
  </si>
  <si>
    <t>A26_Female_18_INF</t>
  </si>
  <si>
    <t>x &gt;= 3.8 AND x &lt;= 11.8</t>
  </si>
  <si>
    <t>x &lt; 3.8 OR x &gt; 11.8</t>
  </si>
  <si>
    <t>A27_Male_18_INF</t>
  </si>
  <si>
    <t>x &gt;= 15.2 AND x &lt;= 43.3</t>
  </si>
  <si>
    <t>x &lt; 15.2 OR x &gt; 43.3</t>
  </si>
  <si>
    <t>A27_Female_18_INF</t>
  </si>
  <si>
    <t>x &gt;= 16.0 AND x &lt;= 45.9</t>
  </si>
  <si>
    <t>x &lt; 16.0 OR x &gt; 45.9</t>
  </si>
  <si>
    <t>A28_Male_18_INF</t>
  </si>
  <si>
    <t>x &gt;= 5.5 AND x &lt;= 13.7</t>
  </si>
  <si>
    <t>x &lt; 5.5 OR x &gt; 13.7</t>
  </si>
  <si>
    <t>A28_Female_18_INF</t>
  </si>
  <si>
    <t>x &gt;= 4.3 AND x &lt;= 10.9</t>
  </si>
  <si>
    <t>x &lt; 4.3 OR x &gt; 10.9</t>
  </si>
  <si>
    <t>A29_Male_18_INF</t>
  </si>
  <si>
    <t>x &gt;= 43.5 AND x &lt;= 73.5</t>
  </si>
  <si>
    <t>x &lt; 43.5 OR x &gt; 73.5</t>
  </si>
  <si>
    <t>A29_Female_18_INF</t>
  </si>
  <si>
    <t>x &gt;= 42.7 AND x &lt;= 76.8</t>
  </si>
  <si>
    <t>x &lt; 42.7 OR x &gt; 76.8</t>
  </si>
  <si>
    <t>A30_Male_18_INF</t>
  </si>
  <si>
    <t>x &gt;= 0.8 AND x &lt;= 8.1</t>
  </si>
  <si>
    <t>x &lt; 0.8 OR x &gt; 8.1</t>
  </si>
  <si>
    <t>A30_Female_18_INF</t>
  </si>
  <si>
    <t>x &gt;= 0.5 AND x &lt;= 7.0</t>
  </si>
  <si>
    <t>x &lt; 0.5 OR x &gt; 7.0</t>
  </si>
  <si>
    <t>A31_Male_18_INF</t>
  </si>
  <si>
    <t>x &gt;= 0.2 AND x &lt;= 1.5</t>
  </si>
  <si>
    <t>x &lt; 0.2 OR x &gt; 1.5</t>
  </si>
  <si>
    <t>A31_Female_18_INF</t>
  </si>
  <si>
    <t>x &gt;= 0.2 AND x &lt;= 1.3</t>
  </si>
  <si>
    <t>x &lt; 0.2 OR x &gt; 1.3</t>
  </si>
  <si>
    <t>A32_Male_18_INF</t>
  </si>
  <si>
    <t>x &gt;= 4.06 AND x &lt;= 5.63</t>
  </si>
  <si>
    <t>x &lt; 4.06 OR x &gt; 5.63</t>
  </si>
  <si>
    <t>A32_Female_18_INF</t>
  </si>
  <si>
    <t>x &gt;= 3.63 AND x &lt;= 4.92</t>
  </si>
  <si>
    <t>x &lt; 3.63 OR x &gt; 4.92</t>
  </si>
  <si>
    <t>A33_Male_18_INF</t>
  </si>
  <si>
    <t>x &gt;= 36.7 AND x &lt;= 47.1</t>
  </si>
  <si>
    <t>x &lt; 36.7 OR x &gt; 47.1</t>
  </si>
  <si>
    <t>A33_Female_18_INF</t>
  </si>
  <si>
    <t>x &gt;= 31.2 AND x &lt;= 41.9</t>
  </si>
  <si>
    <t>x &lt; 31.2 OR x &gt; 41.9</t>
  </si>
  <si>
    <t>A34_Male_18_INF</t>
  </si>
  <si>
    <t>x &gt;= 73.0 AND x &lt;= 96.2</t>
  </si>
  <si>
    <t>x &lt; 73.0 OR x &gt; 96.2</t>
  </si>
  <si>
    <t>A34_Female_18_INF</t>
  </si>
  <si>
    <t>x &gt;= 75.5 AND x &lt;= 95.3</t>
  </si>
  <si>
    <t>x &lt; 75.5 OR x &gt; 95.3</t>
  </si>
  <si>
    <t>A35_Male_18_INF</t>
  </si>
  <si>
    <t>x &gt;= 12.1 AND x &lt;= 16.2</t>
  </si>
  <si>
    <t>x &lt; 12.1 OR x &gt; 16.2</t>
  </si>
  <si>
    <t>A35_Female_18_INF</t>
  </si>
  <si>
    <t>x &gt;= 12.3 AND x &lt;= 17.7</t>
  </si>
  <si>
    <t>x &lt; 12.3 OR x &gt; 17.7</t>
  </si>
  <si>
    <t>A36_Male_18_INF</t>
  </si>
  <si>
    <t>x &gt;= 0.0 AND x &lt;= 0.6</t>
  </si>
  <si>
    <t>x &lt; 0.0 OR x &gt; 0.6</t>
  </si>
  <si>
    <t>A36_Female_18_INF</t>
  </si>
  <si>
    <t>x &gt;= 0.0 AND x &lt;= 0.3</t>
  </si>
  <si>
    <t>x &lt; 0.0 OR x &gt; 0.3</t>
  </si>
  <si>
    <t>A37_Male_18_INF</t>
  </si>
  <si>
    <t>x &gt;= 7.4 AND x &lt;= 11.4</t>
  </si>
  <si>
    <t>x &lt; 7.4 OR x &gt; 11.4</t>
  </si>
  <si>
    <t>A37_Female_18_INF</t>
  </si>
  <si>
    <t>x &gt;= 7.9 AND x &lt;= 10.8</t>
  </si>
  <si>
    <t>x &lt; 7.9 OR x &gt; 10.8</t>
  </si>
  <si>
    <t>A38_Any_18_INF</t>
  </si>
  <si>
    <t>x &lt; 5.7</t>
  </si>
  <si>
    <t>Frozen binary rule: CDC normal &lt;5.7%; prediabetes/diabetes ranges are collapsed to abnormal.</t>
  </si>
  <si>
    <t>A39_Any_18_INF</t>
  </si>
  <si>
    <t>x &lt; 2.0</t>
  </si>
  <si>
    <t>Frozen cardiovascular-risk decision rule: &lt;2.0 mg/L = normal/lower-risk state; &gt;=2.0 = abnormal.</t>
  </si>
  <si>
    <t>A40_Any_18_INF</t>
  </si>
  <si>
    <t>x &gt;= 50 AND x &lt;= 125</t>
  </si>
  <si>
    <t>Frozen binary rule: 50–125 nmol/L = normal/adequate band; &lt;50 or &gt;125 = abnormal.</t>
  </si>
  <si>
    <t>Publisher</t>
  </si>
  <si>
    <t>Used for</t>
  </si>
  <si>
    <t>Mayo Clinic Laboratories</t>
  </si>
  <si>
    <t>Basic Metabolic Panel, Serum</t>
  </si>
  <si>
    <t>Sodium, potassium, chloride, bicarbonate, BUN, creatinine, calcium, glucose</t>
  </si>
  <si>
    <t>Magnesium, Serum</t>
  </si>
  <si>
    <t>Age-specific magnesium reference intervals</t>
  </si>
  <si>
    <t>Phosphorus (Inorganic), Serum</t>
  </si>
  <si>
    <t>Age- and sex-specific phosphorus reference intervals</t>
  </si>
  <si>
    <t>Renal Function Panel, Serum</t>
  </si>
  <si>
    <t>Total protein and albumin reference intervals</t>
  </si>
  <si>
    <t>Hemoglobin, Blood</t>
  </si>
  <si>
    <t>Age- and sex-specific hemoglobin reference intervals</t>
  </si>
  <si>
    <t>Complete Blood Cell Count with Differential</t>
  </si>
  <si>
    <t>Age- and sex-specific platelet reference intervals</t>
  </si>
  <si>
    <t>Alanine Aminotransferase (ALT), Serum</t>
  </si>
  <si>
    <t>Sex-specific ALT reference intervals</t>
  </si>
  <si>
    <t>Aspartate Aminotransferase (AST), Serum</t>
  </si>
  <si>
    <t>Sex-specific AST reference intervals</t>
  </si>
  <si>
    <t>Alkaline Phosphatase, Serum</t>
  </si>
  <si>
    <t>Age- and sex-specific ALP reference intervals</t>
  </si>
  <si>
    <t>Gamma-Glutamyltransferase (GGT), Serum</t>
  </si>
  <si>
    <t>Sex-specific adult GGT reference intervals</t>
  </si>
  <si>
    <t>Bilirubin, Total, Serum</t>
  </si>
  <si>
    <t>Adult total bilirubin reference interval</t>
  </si>
  <si>
    <t>Uric Acid, Serum</t>
  </si>
  <si>
    <t>Sex-specific adult uric acid reference intervals</t>
  </si>
  <si>
    <t>Creatine Kinase (CK), Serum</t>
  </si>
  <si>
    <t>Sex-specific CK reference intervals</t>
  </si>
  <si>
    <t>Lactate Dehydrogenase (LDH), Serum</t>
  </si>
  <si>
    <t>Adult LDH reference interval</t>
  </si>
  <si>
    <t>Iron, Serum</t>
  </si>
  <si>
    <t>Sex-specific serum iron reference intervals</t>
  </si>
  <si>
    <t>Lipid Panel, Serum</t>
  </si>
  <si>
    <t>Adult total cholesterol and HDL decision thresholds</t>
  </si>
  <si>
    <t>CDC</t>
  </si>
  <si>
    <t>A1C Test for Diabetes and Prediabetes</t>
  </si>
  <si>
    <t>Normal HbA1c &lt;5.7%</t>
  </si>
  <si>
    <t>C-Reactive Protein, High Sensitivity, Serum</t>
  </si>
  <si>
    <t>Adult hs-CRP lower-risk threshold &lt;2.0 mg/L</t>
  </si>
  <si>
    <t>NIH Office of Dietary Supplements</t>
  </si>
  <si>
    <t>Vitamin D: Health Professional Fact Sheet</t>
  </si>
  <si>
    <t>25(OH)D: &gt;=50 nmol/L generally adequate; &gt;125 nmol/L linked to potential adverse effects</t>
  </si>
  <si>
    <t>S20</t>
  </si>
  <si>
    <t>CBC_L documentation, Aug 2021–Aug 2023</t>
  </si>
  <si>
    <t>Confirms NHANES CBC variables and Beckman Coulter DxH 800 methodology</t>
  </si>
  <si>
    <t>Beckman Coulter</t>
  </si>
  <si>
    <t>DxH 900/690T public whole-blood reference-range tables</t>
  </si>
  <si>
    <t>Prespecified adult CBC percentage/volume ranges for research categorization; not asserted as NHANES-local clinical intervals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</si>
</sst>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Carlito"/>
      <charset val="134"/>
    </font>
    <font>
      <b/>
      <sz val="11"/>
      <color rgb="FFFFFFFF"/>
      <name val="Carlito"/>
      <charset val="134"/>
    </font>
    <font>
      <b/>
      <sz val="14"/>
      <color rgb="FFFFFFFF"/>
      <name val="Carlito"/>
      <charset val="134"/>
    </font>
    <font>
      <b/>
      <sz val="11"/>
      <name val="Carlito"/>
      <charset val="134"/>
    </font>
    <font>
      <b/>
      <sz val="11"/>
      <color rgb="FF006100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9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0" borderId="4" applyNumberFormat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4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0" fillId="0" borderId="0"/>
  </cellStyleXfs>
  <cellXfs count="30">
    <xf numFmtId="0" fontId="0" fillId="0" borderId="0" xfId="49"/>
    <xf numFmtId="0" fontId="1" fillId="2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vertical="top" wrapText="1"/>
    </xf>
    <xf numFmtId="0" fontId="0" fillId="3" borderId="0" xfId="49" applyNumberFormat="1" applyFont="1" applyFill="1" applyBorder="1" applyAlignment="1">
      <alignment vertical="top" wrapText="1"/>
    </xf>
    <xf numFmtId="0" fontId="0" fillId="4" borderId="0" xfId="49" applyNumberFormat="1" applyFont="1" applyFill="1" applyBorder="1" applyAlignment="1">
      <alignment vertical="top" wrapText="1"/>
    </xf>
    <xf numFmtId="0" fontId="0" fillId="5" borderId="0" xfId="49" applyNumberFormat="1" applyFont="1" applyFill="1" applyBorder="1" applyAlignment="1">
      <alignment vertical="top" wrapText="1"/>
    </xf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49" applyNumberFormat="1" applyFont="1" applyFill="1" applyBorder="1" applyAlignment="1">
      <alignment vertical="center" wrapText="1"/>
    </xf>
    <xf numFmtId="0" fontId="3" fillId="6" borderId="0" xfId="49" applyNumberFormat="1" applyFont="1" applyFill="1" applyBorder="1" applyAlignment="1">
      <alignment vertical="center" wrapText="1"/>
    </xf>
    <xf numFmtId="0" fontId="0" fillId="0" borderId="0" xfId="49" applyNumberFormat="1" applyFont="1" applyFill="1" applyBorder="1" applyAlignment="1">
      <alignment vertical="center" wrapText="1"/>
    </xf>
    <xf numFmtId="0" fontId="0" fillId="4" borderId="0" xfId="49" applyNumberFormat="1" applyFont="1" applyFill="1" applyBorder="1" applyAlignment="1">
      <alignment vertical="center" wrapText="1"/>
    </xf>
    <xf numFmtId="0" fontId="0" fillId="5" borderId="0" xfId="49" applyNumberFormat="1" applyFont="1" applyFill="1" applyBorder="1" applyAlignment="1">
      <alignment vertical="center" wrapText="1"/>
    </xf>
    <xf numFmtId="0" fontId="3" fillId="6" borderId="0" xfId="49" applyNumberFormat="1" applyFont="1" applyFill="1" applyBorder="1" applyAlignment="1">
      <alignment wrapText="1"/>
    </xf>
    <xf numFmtId="0" fontId="0" fillId="0" borderId="0" xfId="49" applyNumberFormat="1" applyFont="1" applyFill="1" applyBorder="1" applyAlignment="1">
      <alignment wrapText="1"/>
    </xf>
    <xf numFmtId="0" fontId="4" fillId="7" borderId="0" xfId="49" applyNumberFormat="1" applyFont="1" applyFill="1" applyBorder="1" applyAlignment="1">
      <alignment wrapText="1"/>
    </xf>
    <xf numFmtId="0" fontId="3" fillId="5" borderId="0" xfId="49" applyNumberFormat="1" applyFont="1" applyFill="1" applyBorder="1" applyAlignment="1">
      <alignment wrapText="1"/>
    </xf>
    <xf numFmtId="0" fontId="3" fillId="8" borderId="0" xfId="49" applyNumberFormat="1" applyFont="1" applyFill="1" applyBorder="1" applyAlignment="1">
      <alignment wrapText="1"/>
    </xf>
    <xf numFmtId="0" fontId="1" fillId="2" borderId="0" xfId="49" applyNumberFormat="1" applyFont="1" applyFill="1" applyAlignment="1">
      <alignment horizontal="center" vertical="center" wrapText="1"/>
    </xf>
    <xf numFmtId="0" fontId="0" fillId="3" borderId="0" xfId="49" applyNumberFormat="1" applyFont="1" applyFill="1" applyAlignment="1">
      <alignment vertical="top" wrapText="1"/>
    </xf>
    <xf numFmtId="0" fontId="0" fillId="4" borderId="0" xfId="49" applyNumberFormat="1" applyFont="1" applyFill="1" applyAlignment="1">
      <alignment vertical="top" wrapText="1"/>
    </xf>
    <xf numFmtId="0" fontId="0" fillId="5" borderId="0" xfId="49" applyNumberFormat="1" applyFont="1" applyFill="1" applyAlignment="1">
      <alignment vertical="top" wrapText="1"/>
    </xf>
    <xf numFmtId="0" fontId="4" fillId="3" borderId="0" xfId="49" applyNumberFormat="1" applyFont="1" applyFill="1" applyAlignment="1">
      <alignment vertical="top" wrapText="1"/>
    </xf>
    <xf numFmtId="0" fontId="4" fillId="4" borderId="0" xfId="49" applyNumberFormat="1" applyFont="1" applyFill="1" applyAlignment="1">
      <alignment vertical="top" wrapText="1"/>
    </xf>
    <xf numFmtId="0" fontId="4" fillId="5" borderId="0" xfId="49" applyNumberFormat="1" applyFont="1" applyFill="1" applyAlignment="1">
      <alignment vertical="top" wrapText="1"/>
    </xf>
    <xf numFmtId="0" fontId="0" fillId="5" borderId="0" xfId="49" applyNumberFormat="1" applyFont="1" applyFill="1" applyBorder="1" applyAlignment="1">
      <alignment wrapText="1"/>
    </xf>
    <xf numFmtId="0" fontId="3" fillId="0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horizontal="center" vertical="center" wrapText="1"/>
    </xf>
    <xf numFmtId="2" fontId="0" fillId="0" borderId="0" xfId="49" applyNumberFormat="1" applyFont="1" applyFill="1" applyBorder="1" applyAlignment="1">
      <alignment horizontal="center" vertical="center" wrapText="1"/>
    </xf>
    <xf numFmtId="0" fontId="0" fillId="4" borderId="0" xfId="49" applyNumberFormat="1" applyFont="1" applyFill="1" applyBorder="1"/>
    <xf numFmtId="0" fontId="0" fillId="5" borderId="0" xfId="49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9">
    <dxf>
      <font>
        <b val="1"/>
        <color rgb="FF9C6500"/>
      </font>
      <fill>
        <patternFill patternType="solid">
          <bgColor rgb="FFFFF2CC"/>
        </patternFill>
      </fill>
    </dxf>
    <dxf>
      <font>
        <b val="1"/>
        <color rgb="FF1F4E78"/>
      </font>
      <fill>
        <patternFill patternType="solid">
          <bgColor rgb="FFD9EAF7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AttributeConfigTable" displayName="AttributeConfigTable" ref="A1:V41" totalsRowShown="0">
  <tableColumns count="22">
    <tableColumn id="1" name="ID"/>
    <tableColumn id="2" name="Added in"/>
    <tableColumn id="3" name="In D10"/>
    <tableColumn id="4" name="In D20"/>
    <tableColumn id="5" name="In D40"/>
    <tableColumn id="6" name="Attribute"/>
    <tableColumn id="7" name="NHANES file"/>
    <tableColumn id="8" name="NHANES variable"/>
    <tableColumn id="9" name="Native unit"/>
    <tableColumn id="10" name="LOINC (NHANES)"/>
    <tableColumn id="11" name="PIC LOINC (D10 only)"/>
    <tableColumn id="12" name="Semantic group"/>
    <tableColumn id="13" name="HPO ID"/>
    <tableColumn id="14" name="HPO official anchor"/>
    <tableColumn id="15" name="Rule class"/>
    <tableColumn id="16" name="Eligibility"/>
    <tableColumn id="17" name="Cohort handling"/>
    <tableColumn id="18" name="Mapping provenance"/>
    <tableColumn id="19" name="Freeze status"/>
    <tableColumn id="20" name="CDC source"/>
    <tableColumn id="21" name="LOINC source"/>
    <tableColumn id="22" name="HPO sour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emanticGroupsTable" displayName="SemanticGroupsTable" ref="A1:J13" totalsRowShown="0">
  <tableColumns count="10">
    <tableColumn id="1" name="Group"/>
    <tableColumn id="2" name="HPO ID"/>
    <tableColumn id="3" name="HPO official anchor"/>
    <tableColumn id="4" name="D10 size"/>
    <tableColumn id="5" name="D20 size"/>
    <tableColumn id="6" name="D40 size"/>
    <tableColumn id="7" name="D10 members"/>
    <tableColumn id="8" name="D20 members"/>
    <tableColumn id="9" name="D40 members"/>
    <tableColumn id="10" name="Freeze 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ExcludedCandidatesTable" displayName="ExcludedCandidatesTable" ref="A1:D10" totalsRowShown="0">
  <tableColumns count="4">
    <tableColumn id="1" name="Candidate"/>
    <tableColumn id="2" name="NHANES source"/>
    <tableColumn id="3" name="Reason excluded"/>
    <tableColumn id="4" name="Decis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1"/>
  <sheetViews>
    <sheetView zoomScale="55" zoomScaleNormal="55" workbookViewId="0">
      <selection activeCell="A1" sqref="A1"/>
    </sheetView>
  </sheetViews>
  <sheetFormatPr defaultColWidth="9" defaultRowHeight="14.25"/>
  <cols>
    <col min="1" max="1" width="5" customWidth="1"/>
    <col min="2" max="2" width="8" customWidth="1"/>
    <col min="3" max="5" width="7" customWidth="1"/>
    <col min="6" max="6" width="28" customWidth="1"/>
    <col min="7" max="7" width="13" customWidth="1"/>
    <col min="8" max="8" width="16" customWidth="1"/>
    <col min="9" max="9" width="15" customWidth="1"/>
    <col min="10" max="11" width="16" customWidth="1"/>
    <col min="12" max="12" width="12" customWidth="1"/>
    <col min="13" max="13" width="15" customWidth="1"/>
    <col min="14" max="14" width="38" customWidth="1"/>
    <col min="15" max="15" width="34" customWidth="1"/>
    <col min="16" max="16" width="12" customWidth="1"/>
    <col min="17" max="17" width="38" customWidth="1"/>
    <col min="18" max="18" width="36" customWidth="1"/>
    <col min="19" max="19" width="12" customWidth="1"/>
    <col min="20" max="22" width="34" customWidth="1"/>
  </cols>
  <sheetData>
    <row r="1" ht="42" customHeight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34" customHeight="1" spans="1:22">
      <c r="A2" s="26">
        <v>1</v>
      </c>
      <c r="B2" s="26" t="s">
        <v>22</v>
      </c>
      <c r="C2" s="26" t="s">
        <v>23</v>
      </c>
      <c r="D2" s="26" t="s">
        <v>23</v>
      </c>
      <c r="E2" s="26" t="s">
        <v>23</v>
      </c>
      <c r="F2" s="9" t="s">
        <v>24</v>
      </c>
      <c r="G2" s="9" t="s">
        <v>25</v>
      </c>
      <c r="H2" s="9" t="s">
        <v>26</v>
      </c>
      <c r="I2" s="9" t="s">
        <v>27</v>
      </c>
      <c r="J2" s="26" t="s">
        <v>28</v>
      </c>
      <c r="K2" s="26" t="s">
        <v>29</v>
      </c>
      <c r="L2" s="26" t="s">
        <v>30</v>
      </c>
      <c r="M2" s="26" t="s">
        <v>31</v>
      </c>
      <c r="N2" s="9" t="s">
        <v>32</v>
      </c>
      <c r="O2" s="9" t="s">
        <v>33</v>
      </c>
      <c r="P2" s="9" t="s">
        <v>34</v>
      </c>
      <c r="Q2" s="9" t="s">
        <v>35</v>
      </c>
      <c r="R2" s="9" t="s">
        <v>36</v>
      </c>
      <c r="S2" s="29" t="s">
        <v>37</v>
      </c>
      <c r="T2" s="9" t="s">
        <v>38</v>
      </c>
      <c r="U2" s="9" t="s">
        <v>39</v>
      </c>
      <c r="V2" s="9" t="s">
        <v>40</v>
      </c>
    </row>
    <row r="3" ht="34" customHeight="1" spans="1:22">
      <c r="A3" s="26">
        <v>2</v>
      </c>
      <c r="B3" s="26" t="s">
        <v>22</v>
      </c>
      <c r="C3" s="26" t="s">
        <v>23</v>
      </c>
      <c r="D3" s="26" t="s">
        <v>23</v>
      </c>
      <c r="E3" s="26" t="s">
        <v>23</v>
      </c>
      <c r="F3" s="9" t="s">
        <v>41</v>
      </c>
      <c r="G3" s="9" t="s">
        <v>25</v>
      </c>
      <c r="H3" s="9" t="s">
        <v>42</v>
      </c>
      <c r="I3" s="9" t="s">
        <v>27</v>
      </c>
      <c r="J3" s="26" t="s">
        <v>43</v>
      </c>
      <c r="K3" s="26" t="s">
        <v>44</v>
      </c>
      <c r="L3" s="26" t="s">
        <v>30</v>
      </c>
      <c r="M3" s="26" t="s">
        <v>31</v>
      </c>
      <c r="N3" s="9" t="s">
        <v>32</v>
      </c>
      <c r="O3" s="9" t="s">
        <v>33</v>
      </c>
      <c r="P3" s="9" t="s">
        <v>34</v>
      </c>
      <c r="Q3" s="9" t="s">
        <v>35</v>
      </c>
      <c r="R3" s="9" t="s">
        <v>36</v>
      </c>
      <c r="S3" s="29" t="s">
        <v>37</v>
      </c>
      <c r="T3" s="9" t="s">
        <v>38</v>
      </c>
      <c r="U3" s="9" t="s">
        <v>45</v>
      </c>
      <c r="V3" s="9" t="s">
        <v>40</v>
      </c>
    </row>
    <row r="4" ht="34" customHeight="1" spans="1:22">
      <c r="A4" s="26">
        <v>3</v>
      </c>
      <c r="B4" s="26" t="s">
        <v>22</v>
      </c>
      <c r="C4" s="26" t="s">
        <v>23</v>
      </c>
      <c r="D4" s="26" t="s">
        <v>23</v>
      </c>
      <c r="E4" s="26" t="s">
        <v>23</v>
      </c>
      <c r="F4" s="9" t="s">
        <v>46</v>
      </c>
      <c r="G4" s="9" t="s">
        <v>25</v>
      </c>
      <c r="H4" s="9" t="s">
        <v>47</v>
      </c>
      <c r="I4" s="9" t="s">
        <v>48</v>
      </c>
      <c r="J4" s="26" t="s">
        <v>49</v>
      </c>
      <c r="K4" s="26" t="s">
        <v>49</v>
      </c>
      <c r="L4" s="26" t="s">
        <v>30</v>
      </c>
      <c r="M4" s="26" t="s">
        <v>31</v>
      </c>
      <c r="N4" s="9" t="s">
        <v>32</v>
      </c>
      <c r="O4" s="9" t="s">
        <v>33</v>
      </c>
      <c r="P4" s="9" t="s">
        <v>34</v>
      </c>
      <c r="Q4" s="9" t="s">
        <v>35</v>
      </c>
      <c r="R4" s="9" t="s">
        <v>36</v>
      </c>
      <c r="S4" s="29" t="s">
        <v>37</v>
      </c>
      <c r="T4" s="9" t="s">
        <v>38</v>
      </c>
      <c r="U4" s="9" t="s">
        <v>50</v>
      </c>
      <c r="V4" s="9" t="s">
        <v>40</v>
      </c>
    </row>
    <row r="5" ht="34" customHeight="1" spans="1:22">
      <c r="A5" s="26">
        <v>4</v>
      </c>
      <c r="B5" s="26" t="s">
        <v>22</v>
      </c>
      <c r="C5" s="26" t="s">
        <v>23</v>
      </c>
      <c r="D5" s="26" t="s">
        <v>23</v>
      </c>
      <c r="E5" s="26" t="s">
        <v>23</v>
      </c>
      <c r="F5" s="9" t="s">
        <v>51</v>
      </c>
      <c r="G5" s="9" t="s">
        <v>25</v>
      </c>
      <c r="H5" s="9" t="s">
        <v>52</v>
      </c>
      <c r="I5" s="9" t="s">
        <v>48</v>
      </c>
      <c r="J5" s="26" t="s">
        <v>53</v>
      </c>
      <c r="K5" s="26" t="s">
        <v>53</v>
      </c>
      <c r="L5" s="26" t="s">
        <v>30</v>
      </c>
      <c r="M5" s="26" t="s">
        <v>31</v>
      </c>
      <c r="N5" s="9" t="s">
        <v>32</v>
      </c>
      <c r="O5" s="9" t="s">
        <v>33</v>
      </c>
      <c r="P5" s="9" t="s">
        <v>34</v>
      </c>
      <c r="Q5" s="9" t="s">
        <v>35</v>
      </c>
      <c r="R5" s="9" t="s">
        <v>36</v>
      </c>
      <c r="S5" s="29" t="s">
        <v>37</v>
      </c>
      <c r="T5" s="9" t="s">
        <v>38</v>
      </c>
      <c r="U5" s="9" t="s">
        <v>54</v>
      </c>
      <c r="V5" s="9" t="s">
        <v>40</v>
      </c>
    </row>
    <row r="6" ht="34" customHeight="1" spans="1:22">
      <c r="A6" s="26">
        <v>5</v>
      </c>
      <c r="B6" s="26" t="s">
        <v>22</v>
      </c>
      <c r="C6" s="26" t="s">
        <v>23</v>
      </c>
      <c r="D6" s="26" t="s">
        <v>23</v>
      </c>
      <c r="E6" s="26" t="s">
        <v>23</v>
      </c>
      <c r="F6" s="9" t="s">
        <v>55</v>
      </c>
      <c r="G6" s="9" t="s">
        <v>25</v>
      </c>
      <c r="H6" s="9" t="s">
        <v>56</v>
      </c>
      <c r="I6" s="9" t="s">
        <v>48</v>
      </c>
      <c r="J6" s="26" t="s">
        <v>57</v>
      </c>
      <c r="K6" s="26" t="s">
        <v>57</v>
      </c>
      <c r="L6" s="26" t="s">
        <v>58</v>
      </c>
      <c r="M6" s="26" t="s">
        <v>59</v>
      </c>
      <c r="N6" s="9" t="s">
        <v>60</v>
      </c>
      <c r="O6" s="9" t="s">
        <v>33</v>
      </c>
      <c r="P6" s="9" t="s">
        <v>34</v>
      </c>
      <c r="Q6" s="9" t="s">
        <v>35</v>
      </c>
      <c r="R6" s="9" t="s">
        <v>36</v>
      </c>
      <c r="S6" s="29" t="s">
        <v>37</v>
      </c>
      <c r="T6" s="9" t="s">
        <v>38</v>
      </c>
      <c r="U6" s="9" t="s">
        <v>61</v>
      </c>
      <c r="V6" s="9" t="s">
        <v>62</v>
      </c>
    </row>
    <row r="7" ht="34" customHeight="1" spans="1:22">
      <c r="A7" s="26">
        <v>6</v>
      </c>
      <c r="B7" s="26" t="s">
        <v>22</v>
      </c>
      <c r="C7" s="26" t="s">
        <v>23</v>
      </c>
      <c r="D7" s="26" t="s">
        <v>23</v>
      </c>
      <c r="E7" s="26" t="s">
        <v>23</v>
      </c>
      <c r="F7" s="9" t="s">
        <v>63</v>
      </c>
      <c r="G7" s="9" t="s">
        <v>25</v>
      </c>
      <c r="H7" s="9" t="s">
        <v>64</v>
      </c>
      <c r="I7" s="9" t="s">
        <v>48</v>
      </c>
      <c r="J7" s="26" t="s">
        <v>65</v>
      </c>
      <c r="K7" s="26" t="s">
        <v>65</v>
      </c>
      <c r="L7" s="26" t="s">
        <v>58</v>
      </c>
      <c r="M7" s="26" t="s">
        <v>59</v>
      </c>
      <c r="N7" s="9" t="s">
        <v>60</v>
      </c>
      <c r="O7" s="9" t="s">
        <v>33</v>
      </c>
      <c r="P7" s="9" t="s">
        <v>34</v>
      </c>
      <c r="Q7" s="9" t="s">
        <v>35</v>
      </c>
      <c r="R7" s="9" t="s">
        <v>36</v>
      </c>
      <c r="S7" s="29" t="s">
        <v>37</v>
      </c>
      <c r="T7" s="9" t="s">
        <v>38</v>
      </c>
      <c r="U7" s="9" t="s">
        <v>66</v>
      </c>
      <c r="V7" s="9" t="s">
        <v>62</v>
      </c>
    </row>
    <row r="8" ht="34" customHeight="1" spans="1:22">
      <c r="A8" s="26">
        <v>7</v>
      </c>
      <c r="B8" s="26" t="s">
        <v>22</v>
      </c>
      <c r="C8" s="26" t="s">
        <v>23</v>
      </c>
      <c r="D8" s="26" t="s">
        <v>23</v>
      </c>
      <c r="E8" s="26" t="s">
        <v>23</v>
      </c>
      <c r="F8" s="9" t="s">
        <v>67</v>
      </c>
      <c r="G8" s="9" t="s">
        <v>25</v>
      </c>
      <c r="H8" s="9" t="s">
        <v>68</v>
      </c>
      <c r="I8" s="9" t="s">
        <v>48</v>
      </c>
      <c r="J8" s="26" t="s">
        <v>69</v>
      </c>
      <c r="K8" s="26" t="s">
        <v>70</v>
      </c>
      <c r="L8" s="26" t="s">
        <v>71</v>
      </c>
      <c r="M8" s="26" t="s">
        <v>72</v>
      </c>
      <c r="N8" s="9" t="s">
        <v>73</v>
      </c>
      <c r="O8" s="9" t="s">
        <v>33</v>
      </c>
      <c r="P8" s="9" t="s">
        <v>34</v>
      </c>
      <c r="Q8" s="9" t="s">
        <v>35</v>
      </c>
      <c r="R8" s="9" t="s">
        <v>36</v>
      </c>
      <c r="S8" s="29" t="s">
        <v>37</v>
      </c>
      <c r="T8" s="9" t="s">
        <v>38</v>
      </c>
      <c r="U8" s="9" t="s">
        <v>74</v>
      </c>
      <c r="V8" s="9" t="s">
        <v>75</v>
      </c>
    </row>
    <row r="9" ht="34" customHeight="1" spans="1:22">
      <c r="A9" s="26">
        <v>8</v>
      </c>
      <c r="B9" s="26" t="s">
        <v>22</v>
      </c>
      <c r="C9" s="26" t="s">
        <v>23</v>
      </c>
      <c r="D9" s="26" t="s">
        <v>23</v>
      </c>
      <c r="E9" s="26" t="s">
        <v>23</v>
      </c>
      <c r="F9" s="9" t="s">
        <v>76</v>
      </c>
      <c r="G9" s="9" t="s">
        <v>25</v>
      </c>
      <c r="H9" s="9" t="s">
        <v>77</v>
      </c>
      <c r="I9" s="9" t="s">
        <v>78</v>
      </c>
      <c r="J9" s="26" t="s">
        <v>79</v>
      </c>
      <c r="K9" s="26" t="s">
        <v>79</v>
      </c>
      <c r="L9" s="26" t="s">
        <v>71</v>
      </c>
      <c r="M9" s="26" t="s">
        <v>72</v>
      </c>
      <c r="N9" s="9" t="s">
        <v>73</v>
      </c>
      <c r="O9" s="9" t="s">
        <v>33</v>
      </c>
      <c r="P9" s="9" t="s">
        <v>34</v>
      </c>
      <c r="Q9" s="9" t="s">
        <v>35</v>
      </c>
      <c r="R9" s="9" t="s">
        <v>36</v>
      </c>
      <c r="S9" s="29" t="s">
        <v>37</v>
      </c>
      <c r="T9" s="9" t="s">
        <v>38</v>
      </c>
      <c r="U9" s="9" t="s">
        <v>80</v>
      </c>
      <c r="V9" s="9" t="s">
        <v>75</v>
      </c>
    </row>
    <row r="10" ht="34" customHeight="1" spans="1:22">
      <c r="A10" s="26">
        <v>9</v>
      </c>
      <c r="B10" s="26" t="s">
        <v>22</v>
      </c>
      <c r="C10" s="26" t="s">
        <v>23</v>
      </c>
      <c r="D10" s="26" t="s">
        <v>23</v>
      </c>
      <c r="E10" s="26" t="s">
        <v>23</v>
      </c>
      <c r="F10" s="9" t="s">
        <v>81</v>
      </c>
      <c r="G10" s="9" t="s">
        <v>82</v>
      </c>
      <c r="H10" s="9" t="s">
        <v>83</v>
      </c>
      <c r="I10" s="9" t="s">
        <v>78</v>
      </c>
      <c r="J10" s="26" t="s">
        <v>84</v>
      </c>
      <c r="K10" s="26" t="s">
        <v>84</v>
      </c>
      <c r="L10" s="26" t="s">
        <v>85</v>
      </c>
      <c r="M10" s="26" t="s">
        <v>86</v>
      </c>
      <c r="N10" s="9" t="s">
        <v>87</v>
      </c>
      <c r="O10" s="9" t="s">
        <v>33</v>
      </c>
      <c r="P10" s="9" t="s">
        <v>34</v>
      </c>
      <c r="Q10" s="9" t="s">
        <v>35</v>
      </c>
      <c r="R10" s="9" t="s">
        <v>36</v>
      </c>
      <c r="S10" s="29" t="s">
        <v>37</v>
      </c>
      <c r="T10" s="9" t="s">
        <v>88</v>
      </c>
      <c r="U10" s="9" t="s">
        <v>89</v>
      </c>
      <c r="V10" s="9" t="s">
        <v>90</v>
      </c>
    </row>
    <row r="11" ht="34" customHeight="1" spans="1:22">
      <c r="A11" s="26">
        <v>10</v>
      </c>
      <c r="B11" s="26" t="s">
        <v>22</v>
      </c>
      <c r="C11" s="26" t="s">
        <v>23</v>
      </c>
      <c r="D11" s="26" t="s">
        <v>23</v>
      </c>
      <c r="E11" s="26" t="s">
        <v>23</v>
      </c>
      <c r="F11" s="9" t="s">
        <v>91</v>
      </c>
      <c r="G11" s="9" t="s">
        <v>82</v>
      </c>
      <c r="H11" s="9" t="s">
        <v>92</v>
      </c>
      <c r="I11" s="9" t="s">
        <v>93</v>
      </c>
      <c r="J11" s="26" t="s">
        <v>94</v>
      </c>
      <c r="K11" s="26" t="s">
        <v>94</v>
      </c>
      <c r="L11" s="26" t="s">
        <v>85</v>
      </c>
      <c r="M11" s="26" t="s">
        <v>86</v>
      </c>
      <c r="N11" s="9" t="s">
        <v>87</v>
      </c>
      <c r="O11" s="9" t="s">
        <v>33</v>
      </c>
      <c r="P11" s="9" t="s">
        <v>34</v>
      </c>
      <c r="Q11" s="9" t="s">
        <v>35</v>
      </c>
      <c r="R11" s="9" t="s">
        <v>36</v>
      </c>
      <c r="S11" s="29" t="s">
        <v>37</v>
      </c>
      <c r="T11" s="9" t="s">
        <v>88</v>
      </c>
      <c r="U11" s="9" t="s">
        <v>95</v>
      </c>
      <c r="V11" s="9" t="s">
        <v>90</v>
      </c>
    </row>
    <row r="12" ht="34" customHeight="1" spans="1:22">
      <c r="A12" s="26">
        <v>11</v>
      </c>
      <c r="B12" s="26" t="s">
        <v>96</v>
      </c>
      <c r="C12" s="26" t="s">
        <v>97</v>
      </c>
      <c r="D12" s="26" t="s">
        <v>23</v>
      </c>
      <c r="E12" s="26" t="s">
        <v>23</v>
      </c>
      <c r="F12" s="9" t="s">
        <v>98</v>
      </c>
      <c r="G12" s="9" t="s">
        <v>25</v>
      </c>
      <c r="H12" s="9" t="s">
        <v>99</v>
      </c>
      <c r="I12" s="9" t="s">
        <v>27</v>
      </c>
      <c r="J12" s="26" t="s">
        <v>100</v>
      </c>
      <c r="K12" s="26" t="s">
        <v>101</v>
      </c>
      <c r="L12" s="26" t="s">
        <v>30</v>
      </c>
      <c r="M12" s="26" t="s">
        <v>31</v>
      </c>
      <c r="N12" s="9" t="s">
        <v>32</v>
      </c>
      <c r="O12" s="9" t="s">
        <v>33</v>
      </c>
      <c r="P12" s="9" t="s">
        <v>102</v>
      </c>
      <c r="Q12" s="9" t="s">
        <v>103</v>
      </c>
      <c r="R12" s="9" t="s">
        <v>104</v>
      </c>
      <c r="S12" s="29" t="s">
        <v>37</v>
      </c>
      <c r="T12" s="9" t="s">
        <v>38</v>
      </c>
      <c r="U12" s="9" t="s">
        <v>105</v>
      </c>
      <c r="V12" s="9" t="s">
        <v>40</v>
      </c>
    </row>
    <row r="13" ht="34" customHeight="1" spans="1:22">
      <c r="A13" s="26">
        <v>12</v>
      </c>
      <c r="B13" s="26" t="s">
        <v>96</v>
      </c>
      <c r="C13" s="26" t="s">
        <v>97</v>
      </c>
      <c r="D13" s="26" t="s">
        <v>23</v>
      </c>
      <c r="E13" s="26" t="s">
        <v>23</v>
      </c>
      <c r="F13" s="9" t="s">
        <v>106</v>
      </c>
      <c r="G13" s="9" t="s">
        <v>25</v>
      </c>
      <c r="H13" s="9" t="s">
        <v>107</v>
      </c>
      <c r="I13" s="9" t="s">
        <v>27</v>
      </c>
      <c r="J13" s="26" t="s">
        <v>108</v>
      </c>
      <c r="K13" s="26" t="s">
        <v>101</v>
      </c>
      <c r="L13" s="26" t="s">
        <v>30</v>
      </c>
      <c r="M13" s="26" t="s">
        <v>31</v>
      </c>
      <c r="N13" s="9" t="s">
        <v>32</v>
      </c>
      <c r="O13" s="9" t="s">
        <v>33</v>
      </c>
      <c r="P13" s="9" t="s">
        <v>102</v>
      </c>
      <c r="Q13" s="9" t="s">
        <v>103</v>
      </c>
      <c r="R13" s="9" t="s">
        <v>104</v>
      </c>
      <c r="S13" s="29" t="s">
        <v>37</v>
      </c>
      <c r="T13" s="9" t="s">
        <v>38</v>
      </c>
      <c r="U13" s="9" t="s">
        <v>109</v>
      </c>
      <c r="V13" s="9" t="s">
        <v>40</v>
      </c>
    </row>
    <row r="14" ht="34" customHeight="1" spans="1:22">
      <c r="A14" s="26">
        <v>13</v>
      </c>
      <c r="B14" s="26" t="s">
        <v>96</v>
      </c>
      <c r="C14" s="26" t="s">
        <v>97</v>
      </c>
      <c r="D14" s="26" t="s">
        <v>23</v>
      </c>
      <c r="E14" s="26" t="s">
        <v>23</v>
      </c>
      <c r="F14" s="9" t="s">
        <v>110</v>
      </c>
      <c r="G14" s="9" t="s">
        <v>25</v>
      </c>
      <c r="H14" s="9" t="s">
        <v>111</v>
      </c>
      <c r="I14" s="9" t="s">
        <v>48</v>
      </c>
      <c r="J14" s="26" t="s">
        <v>112</v>
      </c>
      <c r="K14" s="26" t="s">
        <v>101</v>
      </c>
      <c r="L14" s="26" t="s">
        <v>30</v>
      </c>
      <c r="M14" s="26" t="s">
        <v>31</v>
      </c>
      <c r="N14" s="9" t="s">
        <v>32</v>
      </c>
      <c r="O14" s="9" t="s">
        <v>33</v>
      </c>
      <c r="P14" s="9" t="s">
        <v>102</v>
      </c>
      <c r="Q14" s="9" t="s">
        <v>103</v>
      </c>
      <c r="R14" s="9" t="s">
        <v>104</v>
      </c>
      <c r="S14" s="29" t="s">
        <v>37</v>
      </c>
      <c r="T14" s="9" t="s">
        <v>38</v>
      </c>
      <c r="U14" s="9" t="s">
        <v>113</v>
      </c>
      <c r="V14" s="9" t="s">
        <v>40</v>
      </c>
    </row>
    <row r="15" ht="34" customHeight="1" spans="1:22">
      <c r="A15" s="26">
        <v>14</v>
      </c>
      <c r="B15" s="26" t="s">
        <v>96</v>
      </c>
      <c r="C15" s="26" t="s">
        <v>97</v>
      </c>
      <c r="D15" s="26" t="s">
        <v>23</v>
      </c>
      <c r="E15" s="26" t="s">
        <v>23</v>
      </c>
      <c r="F15" s="9" t="s">
        <v>114</v>
      </c>
      <c r="G15" s="9" t="s">
        <v>25</v>
      </c>
      <c r="H15" s="9" t="s">
        <v>115</v>
      </c>
      <c r="I15" s="9" t="s">
        <v>78</v>
      </c>
      <c r="J15" s="26" t="s">
        <v>116</v>
      </c>
      <c r="K15" s="26" t="s">
        <v>101</v>
      </c>
      <c r="L15" s="26" t="s">
        <v>71</v>
      </c>
      <c r="M15" s="26" t="s">
        <v>72</v>
      </c>
      <c r="N15" s="9" t="s">
        <v>73</v>
      </c>
      <c r="O15" s="9" t="s">
        <v>33</v>
      </c>
      <c r="P15" s="9" t="s">
        <v>102</v>
      </c>
      <c r="Q15" s="9" t="s">
        <v>103</v>
      </c>
      <c r="R15" s="9" t="s">
        <v>104</v>
      </c>
      <c r="S15" s="29" t="s">
        <v>37</v>
      </c>
      <c r="T15" s="9" t="s">
        <v>38</v>
      </c>
      <c r="U15" s="9" t="s">
        <v>117</v>
      </c>
      <c r="V15" s="9" t="s">
        <v>75</v>
      </c>
    </row>
    <row r="16" ht="34" customHeight="1" spans="1:22">
      <c r="A16" s="26">
        <v>15</v>
      </c>
      <c r="B16" s="26" t="s">
        <v>96</v>
      </c>
      <c r="C16" s="26" t="s">
        <v>97</v>
      </c>
      <c r="D16" s="26" t="s">
        <v>23</v>
      </c>
      <c r="E16" s="26" t="s">
        <v>23</v>
      </c>
      <c r="F16" s="9" t="s">
        <v>118</v>
      </c>
      <c r="G16" s="9" t="s">
        <v>25</v>
      </c>
      <c r="H16" s="9" t="s">
        <v>119</v>
      </c>
      <c r="I16" s="9" t="s">
        <v>120</v>
      </c>
      <c r="J16" s="26" t="s">
        <v>121</v>
      </c>
      <c r="K16" s="26" t="s">
        <v>101</v>
      </c>
      <c r="L16" s="26" t="s">
        <v>122</v>
      </c>
      <c r="M16" s="26" t="s">
        <v>123</v>
      </c>
      <c r="N16" s="9" t="s">
        <v>124</v>
      </c>
      <c r="O16" s="9" t="s">
        <v>33</v>
      </c>
      <c r="P16" s="9" t="s">
        <v>102</v>
      </c>
      <c r="Q16" s="9" t="s">
        <v>103</v>
      </c>
      <c r="R16" s="9" t="s">
        <v>104</v>
      </c>
      <c r="S16" s="29" t="s">
        <v>37</v>
      </c>
      <c r="T16" s="9" t="s">
        <v>38</v>
      </c>
      <c r="U16" s="9" t="s">
        <v>125</v>
      </c>
      <c r="V16" s="9" t="s">
        <v>126</v>
      </c>
    </row>
    <row r="17" ht="34" customHeight="1" spans="1:22">
      <c r="A17" s="26">
        <v>16</v>
      </c>
      <c r="B17" s="26" t="s">
        <v>96</v>
      </c>
      <c r="C17" s="26" t="s">
        <v>97</v>
      </c>
      <c r="D17" s="26" t="s">
        <v>23</v>
      </c>
      <c r="E17" s="26" t="s">
        <v>23</v>
      </c>
      <c r="F17" s="9" t="s">
        <v>127</v>
      </c>
      <c r="G17" s="9" t="s">
        <v>25</v>
      </c>
      <c r="H17" s="9" t="s">
        <v>128</v>
      </c>
      <c r="I17" s="9" t="s">
        <v>120</v>
      </c>
      <c r="J17" s="26" t="s">
        <v>129</v>
      </c>
      <c r="K17" s="26" t="s">
        <v>101</v>
      </c>
      <c r="L17" s="26" t="s">
        <v>122</v>
      </c>
      <c r="M17" s="26" t="s">
        <v>123</v>
      </c>
      <c r="N17" s="9" t="s">
        <v>124</v>
      </c>
      <c r="O17" s="9" t="s">
        <v>33</v>
      </c>
      <c r="P17" s="9" t="s">
        <v>102</v>
      </c>
      <c r="Q17" s="9" t="s">
        <v>103</v>
      </c>
      <c r="R17" s="9" t="s">
        <v>104</v>
      </c>
      <c r="S17" s="29" t="s">
        <v>37</v>
      </c>
      <c r="T17" s="9" t="s">
        <v>38</v>
      </c>
      <c r="U17" s="9" t="s">
        <v>130</v>
      </c>
      <c r="V17" s="9" t="s">
        <v>126</v>
      </c>
    </row>
    <row r="18" ht="34" customHeight="1" spans="1:22">
      <c r="A18" s="26">
        <v>17</v>
      </c>
      <c r="B18" s="26" t="s">
        <v>96</v>
      </c>
      <c r="C18" s="26" t="s">
        <v>97</v>
      </c>
      <c r="D18" s="26" t="s">
        <v>23</v>
      </c>
      <c r="E18" s="26" t="s">
        <v>23</v>
      </c>
      <c r="F18" s="9" t="s">
        <v>131</v>
      </c>
      <c r="G18" s="9" t="s">
        <v>25</v>
      </c>
      <c r="H18" s="9" t="s">
        <v>132</v>
      </c>
      <c r="I18" s="9" t="s">
        <v>120</v>
      </c>
      <c r="J18" s="26" t="s">
        <v>133</v>
      </c>
      <c r="K18" s="26" t="s">
        <v>101</v>
      </c>
      <c r="L18" s="26" t="s">
        <v>122</v>
      </c>
      <c r="M18" s="26" t="s">
        <v>123</v>
      </c>
      <c r="N18" s="9" t="s">
        <v>124</v>
      </c>
      <c r="O18" s="9" t="s">
        <v>33</v>
      </c>
      <c r="P18" s="9" t="s">
        <v>102</v>
      </c>
      <c r="Q18" s="9" t="s">
        <v>103</v>
      </c>
      <c r="R18" s="9" t="s">
        <v>104</v>
      </c>
      <c r="S18" s="29" t="s">
        <v>37</v>
      </c>
      <c r="T18" s="9" t="s">
        <v>38</v>
      </c>
      <c r="U18" s="9" t="s">
        <v>134</v>
      </c>
      <c r="V18" s="9" t="s">
        <v>126</v>
      </c>
    </row>
    <row r="19" ht="34" customHeight="1" spans="1:22">
      <c r="A19" s="26">
        <v>18</v>
      </c>
      <c r="B19" s="26" t="s">
        <v>96</v>
      </c>
      <c r="C19" s="26" t="s">
        <v>97</v>
      </c>
      <c r="D19" s="26" t="s">
        <v>23</v>
      </c>
      <c r="E19" s="26" t="s">
        <v>23</v>
      </c>
      <c r="F19" s="9" t="s">
        <v>135</v>
      </c>
      <c r="G19" s="9" t="s">
        <v>25</v>
      </c>
      <c r="H19" s="9" t="s">
        <v>136</v>
      </c>
      <c r="I19" s="9" t="s">
        <v>120</v>
      </c>
      <c r="J19" s="26" t="s">
        <v>137</v>
      </c>
      <c r="K19" s="26" t="s">
        <v>101</v>
      </c>
      <c r="L19" s="26" t="s">
        <v>122</v>
      </c>
      <c r="M19" s="26" t="s">
        <v>123</v>
      </c>
      <c r="N19" s="9" t="s">
        <v>124</v>
      </c>
      <c r="O19" s="9" t="s">
        <v>33</v>
      </c>
      <c r="P19" s="9" t="s">
        <v>102</v>
      </c>
      <c r="Q19" s="9" t="s">
        <v>103</v>
      </c>
      <c r="R19" s="9" t="s">
        <v>104</v>
      </c>
      <c r="S19" s="29" t="s">
        <v>37</v>
      </c>
      <c r="T19" s="9" t="s">
        <v>38</v>
      </c>
      <c r="U19" s="9" t="s">
        <v>138</v>
      </c>
      <c r="V19" s="9" t="s">
        <v>126</v>
      </c>
    </row>
    <row r="20" ht="34" customHeight="1" spans="1:22">
      <c r="A20" s="26">
        <v>19</v>
      </c>
      <c r="B20" s="26" t="s">
        <v>96</v>
      </c>
      <c r="C20" s="26" t="s">
        <v>97</v>
      </c>
      <c r="D20" s="26" t="s">
        <v>23</v>
      </c>
      <c r="E20" s="26" t="s">
        <v>23</v>
      </c>
      <c r="F20" s="9" t="s">
        <v>139</v>
      </c>
      <c r="G20" s="9" t="s">
        <v>25</v>
      </c>
      <c r="H20" s="9" t="s">
        <v>140</v>
      </c>
      <c r="I20" s="9" t="s">
        <v>48</v>
      </c>
      <c r="J20" s="26" t="s">
        <v>141</v>
      </c>
      <c r="K20" s="26" t="s">
        <v>101</v>
      </c>
      <c r="L20" s="26" t="s">
        <v>71</v>
      </c>
      <c r="M20" s="26" t="s">
        <v>72</v>
      </c>
      <c r="N20" s="9" t="s">
        <v>73</v>
      </c>
      <c r="O20" s="9" t="s">
        <v>33</v>
      </c>
      <c r="P20" s="9" t="s">
        <v>102</v>
      </c>
      <c r="Q20" s="9" t="s">
        <v>103</v>
      </c>
      <c r="R20" s="9" t="s">
        <v>104</v>
      </c>
      <c r="S20" s="29" t="s">
        <v>37</v>
      </c>
      <c r="T20" s="9" t="s">
        <v>38</v>
      </c>
      <c r="U20" s="9" t="s">
        <v>142</v>
      </c>
      <c r="V20" s="9" t="s">
        <v>75</v>
      </c>
    </row>
    <row r="21" ht="34" customHeight="1" spans="1:22">
      <c r="A21" s="26">
        <v>20</v>
      </c>
      <c r="B21" s="26" t="s">
        <v>96</v>
      </c>
      <c r="C21" s="26" t="s">
        <v>97</v>
      </c>
      <c r="D21" s="26" t="s">
        <v>23</v>
      </c>
      <c r="E21" s="26" t="s">
        <v>23</v>
      </c>
      <c r="F21" s="9" t="s">
        <v>143</v>
      </c>
      <c r="G21" s="9" t="s">
        <v>25</v>
      </c>
      <c r="H21" s="9" t="s">
        <v>144</v>
      </c>
      <c r="I21" s="9" t="s">
        <v>48</v>
      </c>
      <c r="J21" s="26" t="s">
        <v>145</v>
      </c>
      <c r="K21" s="26" t="s">
        <v>101</v>
      </c>
      <c r="L21" s="26" t="s">
        <v>58</v>
      </c>
      <c r="M21" s="26" t="s">
        <v>59</v>
      </c>
      <c r="N21" s="9" t="s">
        <v>60</v>
      </c>
      <c r="O21" s="9" t="s">
        <v>33</v>
      </c>
      <c r="P21" s="9" t="s">
        <v>102</v>
      </c>
      <c r="Q21" s="9" t="s">
        <v>103</v>
      </c>
      <c r="R21" s="9" t="s">
        <v>104</v>
      </c>
      <c r="S21" s="29" t="s">
        <v>37</v>
      </c>
      <c r="T21" s="9" t="s">
        <v>38</v>
      </c>
      <c r="U21" s="9" t="s">
        <v>146</v>
      </c>
      <c r="V21" s="9" t="s">
        <v>62</v>
      </c>
    </row>
    <row r="22" ht="34" customHeight="1" spans="1:22">
      <c r="A22" s="26">
        <v>21</v>
      </c>
      <c r="B22" s="26" t="s">
        <v>147</v>
      </c>
      <c r="C22" s="26" t="s">
        <v>97</v>
      </c>
      <c r="D22" s="26" t="s">
        <v>97</v>
      </c>
      <c r="E22" s="26" t="s">
        <v>23</v>
      </c>
      <c r="F22" s="9" t="s">
        <v>148</v>
      </c>
      <c r="G22" s="9" t="s">
        <v>25</v>
      </c>
      <c r="H22" s="9" t="s">
        <v>149</v>
      </c>
      <c r="I22" s="9" t="s">
        <v>150</v>
      </c>
      <c r="J22" s="26" t="s">
        <v>151</v>
      </c>
      <c r="K22" s="26" t="s">
        <v>101</v>
      </c>
      <c r="L22" s="26" t="s">
        <v>122</v>
      </c>
      <c r="M22" s="26" t="s">
        <v>123</v>
      </c>
      <c r="N22" s="9" t="s">
        <v>124</v>
      </c>
      <c r="O22" s="9" t="s">
        <v>33</v>
      </c>
      <c r="P22" s="9" t="s">
        <v>102</v>
      </c>
      <c r="Q22" s="9" t="s">
        <v>103</v>
      </c>
      <c r="R22" s="9" t="s">
        <v>104</v>
      </c>
      <c r="S22" s="29" t="s">
        <v>37</v>
      </c>
      <c r="T22" s="9" t="s">
        <v>38</v>
      </c>
      <c r="U22" s="9" t="s">
        <v>152</v>
      </c>
      <c r="V22" s="9" t="s">
        <v>126</v>
      </c>
    </row>
    <row r="23" ht="34" customHeight="1" spans="1:22">
      <c r="A23" s="26">
        <v>22</v>
      </c>
      <c r="B23" s="26" t="s">
        <v>147</v>
      </c>
      <c r="C23" s="26" t="s">
        <v>97</v>
      </c>
      <c r="D23" s="26" t="s">
        <v>97</v>
      </c>
      <c r="E23" s="26" t="s">
        <v>23</v>
      </c>
      <c r="F23" s="9" t="s">
        <v>153</v>
      </c>
      <c r="G23" s="9" t="s">
        <v>25</v>
      </c>
      <c r="H23" s="9" t="s">
        <v>154</v>
      </c>
      <c r="I23" s="9" t="s">
        <v>150</v>
      </c>
      <c r="J23" s="26" t="s">
        <v>155</v>
      </c>
      <c r="K23" s="26" t="s">
        <v>101</v>
      </c>
      <c r="L23" s="26" t="s">
        <v>122</v>
      </c>
      <c r="M23" s="26" t="s">
        <v>123</v>
      </c>
      <c r="N23" s="9" t="s">
        <v>124</v>
      </c>
      <c r="O23" s="9" t="s">
        <v>33</v>
      </c>
      <c r="P23" s="9" t="s">
        <v>102</v>
      </c>
      <c r="Q23" s="9" t="s">
        <v>103</v>
      </c>
      <c r="R23" s="9" t="s">
        <v>104</v>
      </c>
      <c r="S23" s="29" t="s">
        <v>37</v>
      </c>
      <c r="T23" s="9" t="s">
        <v>38</v>
      </c>
      <c r="U23" s="9" t="s">
        <v>156</v>
      </c>
      <c r="V23" s="9" t="s">
        <v>126</v>
      </c>
    </row>
    <row r="24" ht="34" customHeight="1" spans="1:22">
      <c r="A24" s="26">
        <v>23</v>
      </c>
      <c r="B24" s="26" t="s">
        <v>147</v>
      </c>
      <c r="C24" s="26" t="s">
        <v>97</v>
      </c>
      <c r="D24" s="26" t="s">
        <v>97</v>
      </c>
      <c r="E24" s="26" t="s">
        <v>23</v>
      </c>
      <c r="F24" s="9" t="s">
        <v>157</v>
      </c>
      <c r="G24" s="9" t="s">
        <v>25</v>
      </c>
      <c r="H24" s="9" t="s">
        <v>158</v>
      </c>
      <c r="I24" s="9" t="s">
        <v>159</v>
      </c>
      <c r="J24" s="26" t="s">
        <v>160</v>
      </c>
      <c r="K24" s="26" t="s">
        <v>101</v>
      </c>
      <c r="L24" s="26" t="s">
        <v>161</v>
      </c>
      <c r="M24" s="26" t="s">
        <v>162</v>
      </c>
      <c r="N24" s="9" t="s">
        <v>163</v>
      </c>
      <c r="O24" s="9" t="s">
        <v>33</v>
      </c>
      <c r="P24" s="9" t="s">
        <v>102</v>
      </c>
      <c r="Q24" s="9" t="s">
        <v>103</v>
      </c>
      <c r="R24" s="9" t="s">
        <v>104</v>
      </c>
      <c r="S24" s="29" t="s">
        <v>37</v>
      </c>
      <c r="T24" s="9" t="s">
        <v>38</v>
      </c>
      <c r="U24" s="9" t="s">
        <v>164</v>
      </c>
      <c r="V24" s="9" t="s">
        <v>165</v>
      </c>
    </row>
    <row r="25" ht="34" customHeight="1" spans="1:22">
      <c r="A25" s="26">
        <v>24</v>
      </c>
      <c r="B25" s="26" t="s">
        <v>147</v>
      </c>
      <c r="C25" s="26" t="s">
        <v>97</v>
      </c>
      <c r="D25" s="26" t="s">
        <v>97</v>
      </c>
      <c r="E25" s="26" t="s">
        <v>23</v>
      </c>
      <c r="F25" s="9" t="s">
        <v>166</v>
      </c>
      <c r="G25" s="9" t="s">
        <v>167</v>
      </c>
      <c r="H25" s="9" t="s">
        <v>168</v>
      </c>
      <c r="I25" s="9" t="s">
        <v>48</v>
      </c>
      <c r="J25" s="26" t="s">
        <v>169</v>
      </c>
      <c r="K25" s="26" t="s">
        <v>101</v>
      </c>
      <c r="L25" s="26" t="s">
        <v>170</v>
      </c>
      <c r="M25" s="26" t="s">
        <v>171</v>
      </c>
      <c r="N25" s="9" t="s">
        <v>172</v>
      </c>
      <c r="O25" s="9" t="s">
        <v>33</v>
      </c>
      <c r="P25" s="9" t="s">
        <v>102</v>
      </c>
      <c r="Q25" s="9" t="s">
        <v>103</v>
      </c>
      <c r="R25" s="9" t="s">
        <v>104</v>
      </c>
      <c r="S25" s="29" t="s">
        <v>37</v>
      </c>
      <c r="T25" s="9" t="s">
        <v>173</v>
      </c>
      <c r="U25" s="9" t="s">
        <v>174</v>
      </c>
      <c r="V25" s="9" t="s">
        <v>175</v>
      </c>
    </row>
    <row r="26" ht="34" customHeight="1" spans="1:22">
      <c r="A26" s="26">
        <v>25</v>
      </c>
      <c r="B26" s="26" t="s">
        <v>147</v>
      </c>
      <c r="C26" s="26" t="s">
        <v>97</v>
      </c>
      <c r="D26" s="26" t="s">
        <v>97</v>
      </c>
      <c r="E26" s="26" t="s">
        <v>23</v>
      </c>
      <c r="F26" s="9" t="s">
        <v>176</v>
      </c>
      <c r="G26" s="9" t="s">
        <v>177</v>
      </c>
      <c r="H26" s="9" t="s">
        <v>178</v>
      </c>
      <c r="I26" s="9" t="s">
        <v>48</v>
      </c>
      <c r="J26" s="26" t="s">
        <v>179</v>
      </c>
      <c r="K26" s="26" t="s">
        <v>101</v>
      </c>
      <c r="L26" s="26" t="s">
        <v>170</v>
      </c>
      <c r="M26" s="26" t="s">
        <v>171</v>
      </c>
      <c r="N26" s="9" t="s">
        <v>172</v>
      </c>
      <c r="O26" s="9" t="s">
        <v>33</v>
      </c>
      <c r="P26" s="9" t="s">
        <v>102</v>
      </c>
      <c r="Q26" s="9" t="s">
        <v>103</v>
      </c>
      <c r="R26" s="9" t="s">
        <v>104</v>
      </c>
      <c r="S26" s="29" t="s">
        <v>37</v>
      </c>
      <c r="T26" s="9" t="s">
        <v>180</v>
      </c>
      <c r="U26" s="9" t="s">
        <v>181</v>
      </c>
      <c r="V26" s="9" t="s">
        <v>175</v>
      </c>
    </row>
    <row r="27" ht="34" customHeight="1" spans="1:22">
      <c r="A27" s="26">
        <v>26</v>
      </c>
      <c r="B27" s="26" t="s">
        <v>147</v>
      </c>
      <c r="C27" s="26" t="s">
        <v>97</v>
      </c>
      <c r="D27" s="26" t="s">
        <v>97</v>
      </c>
      <c r="E27" s="26" t="s">
        <v>23</v>
      </c>
      <c r="F27" s="9" t="s">
        <v>182</v>
      </c>
      <c r="G27" s="9" t="s">
        <v>82</v>
      </c>
      <c r="H27" s="9" t="s">
        <v>183</v>
      </c>
      <c r="I27" s="9" t="s">
        <v>93</v>
      </c>
      <c r="J27" s="26" t="s">
        <v>184</v>
      </c>
      <c r="K27" s="26" t="s">
        <v>101</v>
      </c>
      <c r="L27" s="26" t="s">
        <v>185</v>
      </c>
      <c r="M27" s="26" t="s">
        <v>186</v>
      </c>
      <c r="N27" s="9" t="s">
        <v>187</v>
      </c>
      <c r="O27" s="9" t="s">
        <v>33</v>
      </c>
      <c r="P27" s="9" t="s">
        <v>102</v>
      </c>
      <c r="Q27" s="9" t="s">
        <v>103</v>
      </c>
      <c r="R27" s="9" t="s">
        <v>104</v>
      </c>
      <c r="S27" s="29" t="s">
        <v>37</v>
      </c>
      <c r="T27" s="9" t="s">
        <v>88</v>
      </c>
      <c r="U27" s="9" t="s">
        <v>188</v>
      </c>
      <c r="V27" s="9" t="s">
        <v>189</v>
      </c>
    </row>
    <row r="28" ht="34" customHeight="1" spans="1:22">
      <c r="A28" s="26">
        <v>27</v>
      </c>
      <c r="B28" s="26" t="s">
        <v>147</v>
      </c>
      <c r="C28" s="26" t="s">
        <v>97</v>
      </c>
      <c r="D28" s="26" t="s">
        <v>97</v>
      </c>
      <c r="E28" s="26" t="s">
        <v>23</v>
      </c>
      <c r="F28" s="9" t="s">
        <v>190</v>
      </c>
      <c r="G28" s="9" t="s">
        <v>82</v>
      </c>
      <c r="H28" s="9" t="s">
        <v>191</v>
      </c>
      <c r="I28" s="9" t="s">
        <v>192</v>
      </c>
      <c r="J28" s="26" t="s">
        <v>193</v>
      </c>
      <c r="K28" s="26" t="s">
        <v>101</v>
      </c>
      <c r="L28" s="26" t="s">
        <v>185</v>
      </c>
      <c r="M28" s="26" t="s">
        <v>186</v>
      </c>
      <c r="N28" s="9" t="s">
        <v>187</v>
      </c>
      <c r="O28" s="9" t="s">
        <v>33</v>
      </c>
      <c r="P28" s="9" t="s">
        <v>102</v>
      </c>
      <c r="Q28" s="9" t="s">
        <v>103</v>
      </c>
      <c r="R28" s="9" t="s">
        <v>104</v>
      </c>
      <c r="S28" s="29" t="s">
        <v>37</v>
      </c>
      <c r="T28" s="9" t="s">
        <v>88</v>
      </c>
      <c r="U28" s="9" t="s">
        <v>194</v>
      </c>
      <c r="V28" s="9" t="s">
        <v>189</v>
      </c>
    </row>
    <row r="29" ht="34" customHeight="1" spans="1:22">
      <c r="A29" s="26">
        <v>28</v>
      </c>
      <c r="B29" s="26" t="s">
        <v>147</v>
      </c>
      <c r="C29" s="26" t="s">
        <v>97</v>
      </c>
      <c r="D29" s="26" t="s">
        <v>97</v>
      </c>
      <c r="E29" s="26" t="s">
        <v>23</v>
      </c>
      <c r="F29" s="9" t="s">
        <v>195</v>
      </c>
      <c r="G29" s="9" t="s">
        <v>82</v>
      </c>
      <c r="H29" s="9" t="s">
        <v>196</v>
      </c>
      <c r="I29" s="9" t="s">
        <v>192</v>
      </c>
      <c r="J29" s="26" t="s">
        <v>197</v>
      </c>
      <c r="K29" s="26" t="s">
        <v>101</v>
      </c>
      <c r="L29" s="26" t="s">
        <v>185</v>
      </c>
      <c r="M29" s="26" t="s">
        <v>186</v>
      </c>
      <c r="N29" s="9" t="s">
        <v>187</v>
      </c>
      <c r="O29" s="9" t="s">
        <v>33</v>
      </c>
      <c r="P29" s="9" t="s">
        <v>102</v>
      </c>
      <c r="Q29" s="9" t="s">
        <v>103</v>
      </c>
      <c r="R29" s="9" t="s">
        <v>104</v>
      </c>
      <c r="S29" s="29" t="s">
        <v>37</v>
      </c>
      <c r="T29" s="9" t="s">
        <v>88</v>
      </c>
      <c r="U29" s="9" t="s">
        <v>198</v>
      </c>
      <c r="V29" s="9" t="s">
        <v>189</v>
      </c>
    </row>
    <row r="30" ht="34" customHeight="1" spans="1:22">
      <c r="A30" s="26">
        <v>29</v>
      </c>
      <c r="B30" s="26" t="s">
        <v>147</v>
      </c>
      <c r="C30" s="26" t="s">
        <v>97</v>
      </c>
      <c r="D30" s="26" t="s">
        <v>97</v>
      </c>
      <c r="E30" s="26" t="s">
        <v>23</v>
      </c>
      <c r="F30" s="9" t="s">
        <v>199</v>
      </c>
      <c r="G30" s="9" t="s">
        <v>82</v>
      </c>
      <c r="H30" s="9" t="s">
        <v>200</v>
      </c>
      <c r="I30" s="9" t="s">
        <v>192</v>
      </c>
      <c r="J30" s="26" t="s">
        <v>201</v>
      </c>
      <c r="K30" s="26" t="s">
        <v>101</v>
      </c>
      <c r="L30" s="26" t="s">
        <v>185</v>
      </c>
      <c r="M30" s="26" t="s">
        <v>186</v>
      </c>
      <c r="N30" s="9" t="s">
        <v>187</v>
      </c>
      <c r="O30" s="9" t="s">
        <v>33</v>
      </c>
      <c r="P30" s="9" t="s">
        <v>102</v>
      </c>
      <c r="Q30" s="9" t="s">
        <v>103</v>
      </c>
      <c r="R30" s="9" t="s">
        <v>104</v>
      </c>
      <c r="S30" s="29" t="s">
        <v>37</v>
      </c>
      <c r="T30" s="9" t="s">
        <v>88</v>
      </c>
      <c r="U30" s="9" t="s">
        <v>202</v>
      </c>
      <c r="V30" s="9" t="s">
        <v>189</v>
      </c>
    </row>
    <row r="31" ht="34" customHeight="1" spans="1:22">
      <c r="A31" s="26">
        <v>30</v>
      </c>
      <c r="B31" s="26" t="s">
        <v>147</v>
      </c>
      <c r="C31" s="26" t="s">
        <v>97</v>
      </c>
      <c r="D31" s="26" t="s">
        <v>97</v>
      </c>
      <c r="E31" s="26" t="s">
        <v>23</v>
      </c>
      <c r="F31" s="9" t="s">
        <v>203</v>
      </c>
      <c r="G31" s="9" t="s">
        <v>82</v>
      </c>
      <c r="H31" s="9" t="s">
        <v>204</v>
      </c>
      <c r="I31" s="9" t="s">
        <v>192</v>
      </c>
      <c r="J31" s="26" t="s">
        <v>205</v>
      </c>
      <c r="K31" s="26" t="s">
        <v>101</v>
      </c>
      <c r="L31" s="26" t="s">
        <v>185</v>
      </c>
      <c r="M31" s="26" t="s">
        <v>186</v>
      </c>
      <c r="N31" s="9" t="s">
        <v>187</v>
      </c>
      <c r="O31" s="9" t="s">
        <v>33</v>
      </c>
      <c r="P31" s="9" t="s">
        <v>102</v>
      </c>
      <c r="Q31" s="9" t="s">
        <v>103</v>
      </c>
      <c r="R31" s="9" t="s">
        <v>104</v>
      </c>
      <c r="S31" s="29" t="s">
        <v>37</v>
      </c>
      <c r="T31" s="9" t="s">
        <v>88</v>
      </c>
      <c r="U31" s="9" t="s">
        <v>206</v>
      </c>
      <c r="V31" s="9" t="s">
        <v>189</v>
      </c>
    </row>
    <row r="32" ht="34" customHeight="1" spans="1:22">
      <c r="A32" s="26">
        <v>31</v>
      </c>
      <c r="B32" s="26" t="s">
        <v>147</v>
      </c>
      <c r="C32" s="26" t="s">
        <v>97</v>
      </c>
      <c r="D32" s="26" t="s">
        <v>97</v>
      </c>
      <c r="E32" s="26" t="s">
        <v>23</v>
      </c>
      <c r="F32" s="9" t="s">
        <v>207</v>
      </c>
      <c r="G32" s="9" t="s">
        <v>82</v>
      </c>
      <c r="H32" s="9" t="s">
        <v>208</v>
      </c>
      <c r="I32" s="9" t="s">
        <v>192</v>
      </c>
      <c r="J32" s="26" t="s">
        <v>209</v>
      </c>
      <c r="K32" s="26" t="s">
        <v>101</v>
      </c>
      <c r="L32" s="26" t="s">
        <v>185</v>
      </c>
      <c r="M32" s="26" t="s">
        <v>186</v>
      </c>
      <c r="N32" s="9" t="s">
        <v>187</v>
      </c>
      <c r="O32" s="9" t="s">
        <v>33</v>
      </c>
      <c r="P32" s="9" t="s">
        <v>102</v>
      </c>
      <c r="Q32" s="9" t="s">
        <v>103</v>
      </c>
      <c r="R32" s="9" t="s">
        <v>104</v>
      </c>
      <c r="S32" s="29" t="s">
        <v>37</v>
      </c>
      <c r="T32" s="9" t="s">
        <v>88</v>
      </c>
      <c r="U32" s="9" t="s">
        <v>210</v>
      </c>
      <c r="V32" s="9" t="s">
        <v>189</v>
      </c>
    </row>
    <row r="33" ht="34" customHeight="1" spans="1:22">
      <c r="A33" s="26">
        <v>32</v>
      </c>
      <c r="B33" s="26" t="s">
        <v>147</v>
      </c>
      <c r="C33" s="26" t="s">
        <v>97</v>
      </c>
      <c r="D33" s="26" t="s">
        <v>97</v>
      </c>
      <c r="E33" s="26" t="s">
        <v>23</v>
      </c>
      <c r="F33" s="9" t="s">
        <v>211</v>
      </c>
      <c r="G33" s="9" t="s">
        <v>82</v>
      </c>
      <c r="H33" s="9" t="s">
        <v>212</v>
      </c>
      <c r="I33" s="9" t="s">
        <v>213</v>
      </c>
      <c r="J33" s="26" t="s">
        <v>214</v>
      </c>
      <c r="K33" s="26" t="s">
        <v>101</v>
      </c>
      <c r="L33" s="26" t="s">
        <v>215</v>
      </c>
      <c r="M33" s="26" t="s">
        <v>216</v>
      </c>
      <c r="N33" s="9" t="s">
        <v>217</v>
      </c>
      <c r="O33" s="9" t="s">
        <v>33</v>
      </c>
      <c r="P33" s="9" t="s">
        <v>102</v>
      </c>
      <c r="Q33" s="9" t="s">
        <v>103</v>
      </c>
      <c r="R33" s="9" t="s">
        <v>104</v>
      </c>
      <c r="S33" s="29" t="s">
        <v>37</v>
      </c>
      <c r="T33" s="9" t="s">
        <v>88</v>
      </c>
      <c r="U33" s="9" t="s">
        <v>218</v>
      </c>
      <c r="V33" s="9" t="s">
        <v>219</v>
      </c>
    </row>
    <row r="34" ht="34" customHeight="1" spans="1:22">
      <c r="A34" s="26">
        <v>33</v>
      </c>
      <c r="B34" s="26" t="s">
        <v>147</v>
      </c>
      <c r="C34" s="26" t="s">
        <v>97</v>
      </c>
      <c r="D34" s="26" t="s">
        <v>97</v>
      </c>
      <c r="E34" s="26" t="s">
        <v>23</v>
      </c>
      <c r="F34" s="9" t="s">
        <v>220</v>
      </c>
      <c r="G34" s="9" t="s">
        <v>82</v>
      </c>
      <c r="H34" s="9" t="s">
        <v>221</v>
      </c>
      <c r="I34" s="9" t="s">
        <v>192</v>
      </c>
      <c r="J34" s="26" t="s">
        <v>222</v>
      </c>
      <c r="K34" s="26" t="s">
        <v>101</v>
      </c>
      <c r="L34" s="26" t="s">
        <v>215</v>
      </c>
      <c r="M34" s="26" t="s">
        <v>216</v>
      </c>
      <c r="N34" s="9" t="s">
        <v>217</v>
      </c>
      <c r="O34" s="9" t="s">
        <v>33</v>
      </c>
      <c r="P34" s="9" t="s">
        <v>102</v>
      </c>
      <c r="Q34" s="9" t="s">
        <v>103</v>
      </c>
      <c r="R34" s="9" t="s">
        <v>104</v>
      </c>
      <c r="S34" s="29" t="s">
        <v>37</v>
      </c>
      <c r="T34" s="9" t="s">
        <v>88</v>
      </c>
      <c r="U34" s="9" t="s">
        <v>223</v>
      </c>
      <c r="V34" s="9" t="s">
        <v>219</v>
      </c>
    </row>
    <row r="35" ht="34" customHeight="1" spans="1:22">
      <c r="A35" s="26">
        <v>34</v>
      </c>
      <c r="B35" s="26" t="s">
        <v>147</v>
      </c>
      <c r="C35" s="26" t="s">
        <v>97</v>
      </c>
      <c r="D35" s="26" t="s">
        <v>97</v>
      </c>
      <c r="E35" s="26" t="s">
        <v>23</v>
      </c>
      <c r="F35" s="9" t="s">
        <v>224</v>
      </c>
      <c r="G35" s="9" t="s">
        <v>82</v>
      </c>
      <c r="H35" s="9" t="s">
        <v>225</v>
      </c>
      <c r="I35" s="9" t="s">
        <v>226</v>
      </c>
      <c r="J35" s="26" t="s">
        <v>227</v>
      </c>
      <c r="K35" s="26" t="s">
        <v>101</v>
      </c>
      <c r="L35" s="26" t="s">
        <v>215</v>
      </c>
      <c r="M35" s="26" t="s">
        <v>216</v>
      </c>
      <c r="N35" s="9" t="s">
        <v>217</v>
      </c>
      <c r="O35" s="9" t="s">
        <v>33</v>
      </c>
      <c r="P35" s="9" t="s">
        <v>102</v>
      </c>
      <c r="Q35" s="9" t="s">
        <v>103</v>
      </c>
      <c r="R35" s="9" t="s">
        <v>104</v>
      </c>
      <c r="S35" s="29" t="s">
        <v>37</v>
      </c>
      <c r="T35" s="9" t="s">
        <v>88</v>
      </c>
      <c r="U35" s="9" t="s">
        <v>228</v>
      </c>
      <c r="V35" s="9" t="s">
        <v>219</v>
      </c>
    </row>
    <row r="36" ht="34" customHeight="1" spans="1:22">
      <c r="A36" s="26">
        <v>35</v>
      </c>
      <c r="B36" s="26" t="s">
        <v>147</v>
      </c>
      <c r="C36" s="26" t="s">
        <v>97</v>
      </c>
      <c r="D36" s="26" t="s">
        <v>97</v>
      </c>
      <c r="E36" s="26" t="s">
        <v>23</v>
      </c>
      <c r="F36" s="9" t="s">
        <v>229</v>
      </c>
      <c r="G36" s="9" t="s">
        <v>82</v>
      </c>
      <c r="H36" s="9" t="s">
        <v>230</v>
      </c>
      <c r="I36" s="9" t="s">
        <v>192</v>
      </c>
      <c r="J36" s="26" t="s">
        <v>231</v>
      </c>
      <c r="K36" s="26" t="s">
        <v>101</v>
      </c>
      <c r="L36" s="26" t="s">
        <v>215</v>
      </c>
      <c r="M36" s="26" t="s">
        <v>216</v>
      </c>
      <c r="N36" s="9" t="s">
        <v>217</v>
      </c>
      <c r="O36" s="9" t="s">
        <v>33</v>
      </c>
      <c r="P36" s="9" t="s">
        <v>102</v>
      </c>
      <c r="Q36" s="9" t="s">
        <v>103</v>
      </c>
      <c r="R36" s="9" t="s">
        <v>104</v>
      </c>
      <c r="S36" s="29" t="s">
        <v>37</v>
      </c>
      <c r="T36" s="9" t="s">
        <v>88</v>
      </c>
      <c r="U36" s="9" t="s">
        <v>232</v>
      </c>
      <c r="V36" s="9" t="s">
        <v>219</v>
      </c>
    </row>
    <row r="37" ht="34" customHeight="1" spans="1:22">
      <c r="A37" s="26">
        <v>36</v>
      </c>
      <c r="B37" s="26" t="s">
        <v>147</v>
      </c>
      <c r="C37" s="26" t="s">
        <v>97</v>
      </c>
      <c r="D37" s="26" t="s">
        <v>97</v>
      </c>
      <c r="E37" s="26" t="s">
        <v>23</v>
      </c>
      <c r="F37" s="9" t="s">
        <v>233</v>
      </c>
      <c r="G37" s="9" t="s">
        <v>82</v>
      </c>
      <c r="H37" s="9" t="s">
        <v>234</v>
      </c>
      <c r="I37" s="9" t="s">
        <v>235</v>
      </c>
      <c r="J37" s="26" t="s">
        <v>236</v>
      </c>
      <c r="K37" s="26" t="s">
        <v>101</v>
      </c>
      <c r="L37" s="26" t="s">
        <v>215</v>
      </c>
      <c r="M37" s="26" t="s">
        <v>216</v>
      </c>
      <c r="N37" s="9" t="s">
        <v>217</v>
      </c>
      <c r="O37" s="9" t="s">
        <v>33</v>
      </c>
      <c r="P37" s="9" t="s">
        <v>102</v>
      </c>
      <c r="Q37" s="9" t="s">
        <v>103</v>
      </c>
      <c r="R37" s="9" t="s">
        <v>104</v>
      </c>
      <c r="S37" s="29" t="s">
        <v>37</v>
      </c>
      <c r="T37" s="9" t="s">
        <v>88</v>
      </c>
      <c r="U37" s="9" t="s">
        <v>237</v>
      </c>
      <c r="V37" s="9" t="s">
        <v>219</v>
      </c>
    </row>
    <row r="38" ht="34" customHeight="1" spans="1:22">
      <c r="A38" s="26">
        <v>37</v>
      </c>
      <c r="B38" s="26" t="s">
        <v>147</v>
      </c>
      <c r="C38" s="26" t="s">
        <v>97</v>
      </c>
      <c r="D38" s="26" t="s">
        <v>97</v>
      </c>
      <c r="E38" s="26" t="s">
        <v>23</v>
      </c>
      <c r="F38" s="9" t="s">
        <v>238</v>
      </c>
      <c r="G38" s="9" t="s">
        <v>82</v>
      </c>
      <c r="H38" s="9" t="s">
        <v>239</v>
      </c>
      <c r="I38" s="9" t="s">
        <v>226</v>
      </c>
      <c r="J38" s="26" t="s">
        <v>240</v>
      </c>
      <c r="K38" s="26" t="s">
        <v>101</v>
      </c>
      <c r="L38" s="26" t="s">
        <v>241</v>
      </c>
      <c r="M38" s="26" t="s">
        <v>242</v>
      </c>
      <c r="N38" s="9" t="s">
        <v>243</v>
      </c>
      <c r="O38" s="9" t="s">
        <v>33</v>
      </c>
      <c r="P38" s="9" t="s">
        <v>102</v>
      </c>
      <c r="Q38" s="9" t="s">
        <v>103</v>
      </c>
      <c r="R38" s="9" t="s">
        <v>104</v>
      </c>
      <c r="S38" s="29" t="s">
        <v>37</v>
      </c>
      <c r="T38" s="9" t="s">
        <v>88</v>
      </c>
      <c r="U38" s="9" t="s">
        <v>244</v>
      </c>
      <c r="V38" s="9" t="s">
        <v>245</v>
      </c>
    </row>
    <row r="39" ht="34" customHeight="1" spans="1:22">
      <c r="A39" s="26">
        <v>38</v>
      </c>
      <c r="B39" s="26" t="s">
        <v>147</v>
      </c>
      <c r="C39" s="26" t="s">
        <v>97</v>
      </c>
      <c r="D39" s="26" t="s">
        <v>97</v>
      </c>
      <c r="E39" s="26" t="s">
        <v>23</v>
      </c>
      <c r="F39" s="9" t="s">
        <v>246</v>
      </c>
      <c r="G39" s="9" t="s">
        <v>247</v>
      </c>
      <c r="H39" s="9" t="s">
        <v>248</v>
      </c>
      <c r="I39" s="9" t="s">
        <v>192</v>
      </c>
      <c r="J39" s="26" t="s">
        <v>249</v>
      </c>
      <c r="K39" s="26" t="s">
        <v>101</v>
      </c>
      <c r="L39" s="26" t="s">
        <v>71</v>
      </c>
      <c r="M39" s="26" t="s">
        <v>72</v>
      </c>
      <c r="N39" s="9" t="s">
        <v>73</v>
      </c>
      <c r="O39" s="9" t="s">
        <v>33</v>
      </c>
      <c r="P39" s="9" t="s">
        <v>102</v>
      </c>
      <c r="Q39" s="9" t="s">
        <v>103</v>
      </c>
      <c r="R39" s="9" t="s">
        <v>104</v>
      </c>
      <c r="S39" s="29" t="s">
        <v>37</v>
      </c>
      <c r="T39" s="9" t="s">
        <v>250</v>
      </c>
      <c r="U39" s="9" t="s">
        <v>251</v>
      </c>
      <c r="V39" s="9" t="s">
        <v>75</v>
      </c>
    </row>
    <row r="40" ht="34" customHeight="1" spans="1:22">
      <c r="A40" s="26">
        <v>39</v>
      </c>
      <c r="B40" s="26" t="s">
        <v>147</v>
      </c>
      <c r="C40" s="26" t="s">
        <v>97</v>
      </c>
      <c r="D40" s="26" t="s">
        <v>97</v>
      </c>
      <c r="E40" s="26" t="s">
        <v>23</v>
      </c>
      <c r="F40" s="9" t="s">
        <v>252</v>
      </c>
      <c r="G40" s="9" t="s">
        <v>253</v>
      </c>
      <c r="H40" s="9" t="s">
        <v>254</v>
      </c>
      <c r="I40" s="9" t="s">
        <v>255</v>
      </c>
      <c r="J40" s="26" t="s">
        <v>256</v>
      </c>
      <c r="K40" s="26" t="s">
        <v>101</v>
      </c>
      <c r="L40" s="26" t="s">
        <v>257</v>
      </c>
      <c r="M40" s="26" t="s">
        <v>258</v>
      </c>
      <c r="N40" s="9" t="s">
        <v>259</v>
      </c>
      <c r="O40" s="9" t="s">
        <v>33</v>
      </c>
      <c r="P40" s="9" t="s">
        <v>102</v>
      </c>
      <c r="Q40" s="9" t="s">
        <v>103</v>
      </c>
      <c r="R40" s="9" t="s">
        <v>104</v>
      </c>
      <c r="S40" s="29" t="s">
        <v>37</v>
      </c>
      <c r="T40" s="9" t="s">
        <v>260</v>
      </c>
      <c r="U40" s="9" t="s">
        <v>261</v>
      </c>
      <c r="V40" s="9" t="s">
        <v>262</v>
      </c>
    </row>
    <row r="41" ht="34" customHeight="1" spans="1:22">
      <c r="A41" s="26">
        <v>40</v>
      </c>
      <c r="B41" s="26" t="s">
        <v>147</v>
      </c>
      <c r="C41" s="26" t="s">
        <v>97</v>
      </c>
      <c r="D41" s="26" t="s">
        <v>97</v>
      </c>
      <c r="E41" s="26" t="s">
        <v>23</v>
      </c>
      <c r="F41" s="9" t="s">
        <v>263</v>
      </c>
      <c r="G41" s="9" t="s">
        <v>264</v>
      </c>
      <c r="H41" s="9" t="s">
        <v>265</v>
      </c>
      <c r="I41" s="9" t="s">
        <v>266</v>
      </c>
      <c r="J41" s="26" t="s">
        <v>267</v>
      </c>
      <c r="K41" s="26" t="s">
        <v>101</v>
      </c>
      <c r="L41" s="26" t="s">
        <v>268</v>
      </c>
      <c r="M41" s="26" t="s">
        <v>269</v>
      </c>
      <c r="N41" s="9" t="s">
        <v>270</v>
      </c>
      <c r="O41" s="9" t="s">
        <v>33</v>
      </c>
      <c r="P41" s="9" t="s">
        <v>102</v>
      </c>
      <c r="Q41" s="9" t="s">
        <v>103</v>
      </c>
      <c r="R41" s="9" t="s">
        <v>104</v>
      </c>
      <c r="S41" s="29" t="s">
        <v>37</v>
      </c>
      <c r="T41" s="9" t="s">
        <v>271</v>
      </c>
      <c r="U41" s="9" t="s">
        <v>272</v>
      </c>
      <c r="V41" s="9" t="s">
        <v>273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4.25" outlineLevelRow="4" outlineLevelCol="6"/>
  <cols>
    <col min="1" max="1" width="12" customWidth="1"/>
    <col min="2" max="5" width="18" customWidth="1"/>
    <col min="6" max="6" width="34" customWidth="1"/>
    <col min="7" max="7" width="48" customWidth="1"/>
  </cols>
  <sheetData>
    <row r="1" ht="30" spans="1:7">
      <c r="A1" s="1" t="s">
        <v>274</v>
      </c>
      <c r="B1" s="1" t="s">
        <v>275</v>
      </c>
      <c r="C1" s="1" t="s">
        <v>276</v>
      </c>
      <c r="D1" s="1" t="s">
        <v>277</v>
      </c>
      <c r="E1" s="1" t="s">
        <v>278</v>
      </c>
      <c r="F1" s="1" t="s">
        <v>279</v>
      </c>
      <c r="G1" s="1" t="s">
        <v>280</v>
      </c>
    </row>
    <row r="2" ht="34" customHeight="1" spans="1:7">
      <c r="A2" s="25" t="s">
        <v>22</v>
      </c>
      <c r="B2" s="26">
        <f>COUNTIF(Attribute_Config!$C$2:$C$41,"Yes")</f>
        <v>10</v>
      </c>
      <c r="C2" s="26">
        <f>COUNTIF(Semantic_Groups!$D$2:$D$13,"&gt;0")</f>
        <v>4</v>
      </c>
      <c r="D2" s="27">
        <f>B2/C2</f>
        <v>2.5</v>
      </c>
      <c r="E2" s="9">
        <f>MAX(Semantic_Groups!$D$2:$D$13)</f>
        <v>4</v>
      </c>
      <c r="F2" s="9" t="s">
        <v>281</v>
      </c>
      <c r="G2" s="9" t="s">
        <v>282</v>
      </c>
    </row>
    <row r="3" ht="34" customHeight="1" spans="1:7">
      <c r="A3" s="25" t="s">
        <v>96</v>
      </c>
      <c r="B3" s="26">
        <f>COUNTIF(Attribute_Config!$D$2:$D$41,"Yes")</f>
        <v>20</v>
      </c>
      <c r="C3" s="26">
        <f>COUNTIF(Semantic_Groups!$E$2:$E$13,"&gt;0")</f>
        <v>5</v>
      </c>
      <c r="D3" s="27">
        <f>B3/C3</f>
        <v>4</v>
      </c>
      <c r="E3" s="9">
        <f>MAX(Semantic_Groups!$E$2:$E$13)</f>
        <v>7</v>
      </c>
      <c r="F3" s="9" t="s">
        <v>283</v>
      </c>
      <c r="G3" s="9" t="s">
        <v>284</v>
      </c>
    </row>
    <row r="4" ht="34" customHeight="1" spans="1:7">
      <c r="A4" s="25" t="s">
        <v>147</v>
      </c>
      <c r="B4" s="26">
        <f>COUNTIF(Attribute_Config!$E$2:$E$41,"Yes")</f>
        <v>40</v>
      </c>
      <c r="C4" s="26">
        <f>COUNTIF(Semantic_Groups!$F$2:$F$13,"&gt;0")</f>
        <v>12</v>
      </c>
      <c r="D4" s="27">
        <f>B4/C4</f>
        <v>3.33333333333333</v>
      </c>
      <c r="E4" s="9">
        <f>MAX(Semantic_Groups!$F$2:$F$13)</f>
        <v>7</v>
      </c>
      <c r="F4" s="9" t="s">
        <v>285</v>
      </c>
      <c r="G4" s="9" t="s">
        <v>284</v>
      </c>
    </row>
    <row r="5" spans="1:7">
      <c r="A5" s="28" t="s">
        <v>286</v>
      </c>
      <c r="B5" s="28"/>
      <c r="C5" s="28"/>
      <c r="D5" s="28"/>
      <c r="E5" s="28"/>
      <c r="F5" s="28"/>
      <c r="G5" s="28" t="s">
        <v>287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"/>
  <sheetViews>
    <sheetView workbookViewId="0">
      <selection activeCell="A1" sqref="A1"/>
    </sheetView>
  </sheetViews>
  <sheetFormatPr defaultColWidth="9" defaultRowHeight="14.25"/>
  <cols>
    <col min="1" max="1" width="8" customWidth="1"/>
    <col min="2" max="2" width="15" customWidth="1"/>
    <col min="3" max="3" width="40" customWidth="1"/>
    <col min="4" max="6" width="12" customWidth="1"/>
    <col min="7" max="9" width="45" customWidth="1"/>
    <col min="10" max="10" width="12" customWidth="1"/>
  </cols>
  <sheetData>
    <row r="1" ht="30" spans="1:10">
      <c r="A1" s="1" t="s">
        <v>288</v>
      </c>
      <c r="B1" s="1" t="s">
        <v>12</v>
      </c>
      <c r="C1" s="1" t="s">
        <v>13</v>
      </c>
      <c r="D1" s="1" t="s">
        <v>289</v>
      </c>
      <c r="E1" s="1" t="s">
        <v>290</v>
      </c>
      <c r="F1" s="1" t="s">
        <v>291</v>
      </c>
      <c r="G1" s="1" t="s">
        <v>292</v>
      </c>
      <c r="H1" s="1" t="s">
        <v>293</v>
      </c>
      <c r="I1" s="1" t="s">
        <v>294</v>
      </c>
      <c r="J1" s="1" t="s">
        <v>18</v>
      </c>
    </row>
    <row r="2" ht="52" customHeight="1" spans="1:10">
      <c r="A2" s="13" t="s">
        <v>30</v>
      </c>
      <c r="B2" s="13" t="s">
        <v>31</v>
      </c>
      <c r="C2" s="13" t="s">
        <v>32</v>
      </c>
      <c r="D2" s="13">
        <f>COUNTIFS(Attribute_Config!$L$2:$L$41,$A2,Attribute_Config!$C$2:$C$41,"Yes")</f>
        <v>4</v>
      </c>
      <c r="E2" s="13">
        <f>COUNTIFS(Attribute_Config!$L$2:$L$41,$A2,Attribute_Config!$D$2:$D$41,"Yes")</f>
        <v>7</v>
      </c>
      <c r="F2" s="13">
        <f>COUNTIFS(Attribute_Config!$L$2:$L$41,$A2,Attribute_Config!$E$2:$E$41,"Yes")</f>
        <v>7</v>
      </c>
      <c r="G2" s="13" t="s">
        <v>295</v>
      </c>
      <c r="H2" s="13" t="s">
        <v>296</v>
      </c>
      <c r="I2" s="13" t="s">
        <v>296</v>
      </c>
      <c r="J2" s="24" t="s">
        <v>37</v>
      </c>
    </row>
    <row r="3" ht="52" customHeight="1" spans="1:10">
      <c r="A3" s="13" t="s">
        <v>58</v>
      </c>
      <c r="B3" s="13" t="s">
        <v>59</v>
      </c>
      <c r="C3" s="13" t="s">
        <v>60</v>
      </c>
      <c r="D3" s="13">
        <f>COUNTIFS(Attribute_Config!$L$2:$L$41,$A3,Attribute_Config!$C$2:$C$41,"Yes")</f>
        <v>2</v>
      </c>
      <c r="E3" s="13">
        <f>COUNTIFS(Attribute_Config!$L$2:$L$41,$A3,Attribute_Config!$D$2:$D$41,"Yes")</f>
        <v>3</v>
      </c>
      <c r="F3" s="13">
        <f>COUNTIFS(Attribute_Config!$L$2:$L$41,$A3,Attribute_Config!$E$2:$E$41,"Yes")</f>
        <v>3</v>
      </c>
      <c r="G3" s="13" t="s">
        <v>297</v>
      </c>
      <c r="H3" s="13" t="s">
        <v>298</v>
      </c>
      <c r="I3" s="13" t="s">
        <v>298</v>
      </c>
      <c r="J3" s="24" t="s">
        <v>37</v>
      </c>
    </row>
    <row r="4" ht="52" customHeight="1" spans="1:10">
      <c r="A4" s="13" t="s">
        <v>71</v>
      </c>
      <c r="B4" s="13" t="s">
        <v>72</v>
      </c>
      <c r="C4" s="13" t="s">
        <v>73</v>
      </c>
      <c r="D4" s="13">
        <f>COUNTIFS(Attribute_Config!$L$2:$L$41,$A4,Attribute_Config!$C$2:$C$41,"Yes")</f>
        <v>2</v>
      </c>
      <c r="E4" s="13">
        <f>COUNTIFS(Attribute_Config!$L$2:$L$41,$A4,Attribute_Config!$D$2:$D$41,"Yes")</f>
        <v>4</v>
      </c>
      <c r="F4" s="13">
        <f>COUNTIFS(Attribute_Config!$L$2:$L$41,$A4,Attribute_Config!$E$2:$E$41,"Yes")</f>
        <v>5</v>
      </c>
      <c r="G4" s="13" t="s">
        <v>299</v>
      </c>
      <c r="H4" s="13" t="s">
        <v>300</v>
      </c>
      <c r="I4" s="13" t="s">
        <v>301</v>
      </c>
      <c r="J4" s="24" t="s">
        <v>37</v>
      </c>
    </row>
    <row r="5" ht="52" customHeight="1" spans="1:10">
      <c r="A5" s="13" t="s">
        <v>85</v>
      </c>
      <c r="B5" s="13" t="s">
        <v>86</v>
      </c>
      <c r="C5" s="13" t="s">
        <v>87</v>
      </c>
      <c r="D5" s="13">
        <f>COUNTIFS(Attribute_Config!$L$2:$L$41,$A5,Attribute_Config!$C$2:$C$41,"Yes")</f>
        <v>2</v>
      </c>
      <c r="E5" s="13">
        <f>COUNTIFS(Attribute_Config!$L$2:$L$41,$A5,Attribute_Config!$D$2:$D$41,"Yes")</f>
        <v>2</v>
      </c>
      <c r="F5" s="13">
        <f>COUNTIFS(Attribute_Config!$L$2:$L$41,$A5,Attribute_Config!$E$2:$E$41,"Yes")</f>
        <v>2</v>
      </c>
      <c r="G5" s="13" t="s">
        <v>302</v>
      </c>
      <c r="H5" s="13" t="s">
        <v>302</v>
      </c>
      <c r="I5" s="13" t="s">
        <v>302</v>
      </c>
      <c r="J5" s="24" t="s">
        <v>37</v>
      </c>
    </row>
    <row r="6" ht="52" customHeight="1" spans="1:10">
      <c r="A6" s="13" t="s">
        <v>122</v>
      </c>
      <c r="B6" s="13" t="s">
        <v>123</v>
      </c>
      <c r="C6" s="13" t="s">
        <v>124</v>
      </c>
      <c r="D6" s="13">
        <f>COUNTIFS(Attribute_Config!$L$2:$L$41,$A6,Attribute_Config!$C$2:$C$41,"Yes")</f>
        <v>0</v>
      </c>
      <c r="E6" s="13">
        <f>COUNTIFS(Attribute_Config!$L$2:$L$41,$A6,Attribute_Config!$D$2:$D$41,"Yes")</f>
        <v>4</v>
      </c>
      <c r="F6" s="13">
        <f>COUNTIFS(Attribute_Config!$L$2:$L$41,$A6,Attribute_Config!$E$2:$E$41,"Yes")</f>
        <v>6</v>
      </c>
      <c r="G6" s="13" t="s">
        <v>101</v>
      </c>
      <c r="H6" s="13" t="s">
        <v>303</v>
      </c>
      <c r="I6" s="13" t="s">
        <v>304</v>
      </c>
      <c r="J6" s="24" t="s">
        <v>37</v>
      </c>
    </row>
    <row r="7" ht="52" customHeight="1" spans="1:10">
      <c r="A7" s="13" t="s">
        <v>170</v>
      </c>
      <c r="B7" s="13" t="s">
        <v>171</v>
      </c>
      <c r="C7" s="13" t="s">
        <v>172</v>
      </c>
      <c r="D7" s="13">
        <f>COUNTIFS(Attribute_Config!$L$2:$L$41,$A7,Attribute_Config!$C$2:$C$41,"Yes")</f>
        <v>0</v>
      </c>
      <c r="E7" s="13">
        <f>COUNTIFS(Attribute_Config!$L$2:$L$41,$A7,Attribute_Config!$D$2:$D$41,"Yes")</f>
        <v>0</v>
      </c>
      <c r="F7" s="13">
        <f>COUNTIFS(Attribute_Config!$L$2:$L$41,$A7,Attribute_Config!$E$2:$E$41,"Yes")</f>
        <v>2</v>
      </c>
      <c r="G7" s="13" t="s">
        <v>101</v>
      </c>
      <c r="H7" s="13" t="s">
        <v>101</v>
      </c>
      <c r="I7" s="13" t="s">
        <v>305</v>
      </c>
      <c r="J7" s="24" t="s">
        <v>37</v>
      </c>
    </row>
    <row r="8" ht="52" customHeight="1" spans="1:10">
      <c r="A8" s="13" t="s">
        <v>185</v>
      </c>
      <c r="B8" s="13" t="s">
        <v>186</v>
      </c>
      <c r="C8" s="13" t="s">
        <v>187</v>
      </c>
      <c r="D8" s="13">
        <f>COUNTIFS(Attribute_Config!$L$2:$L$41,$A8,Attribute_Config!$C$2:$C$41,"Yes")</f>
        <v>0</v>
      </c>
      <c r="E8" s="13">
        <f>COUNTIFS(Attribute_Config!$L$2:$L$41,$A8,Attribute_Config!$D$2:$D$41,"Yes")</f>
        <v>0</v>
      </c>
      <c r="F8" s="13">
        <f>COUNTIFS(Attribute_Config!$L$2:$L$41,$A8,Attribute_Config!$E$2:$E$41,"Yes")</f>
        <v>6</v>
      </c>
      <c r="G8" s="13" t="s">
        <v>101</v>
      </c>
      <c r="H8" s="13" t="s">
        <v>101</v>
      </c>
      <c r="I8" s="13" t="s">
        <v>306</v>
      </c>
      <c r="J8" s="24" t="s">
        <v>37</v>
      </c>
    </row>
    <row r="9" ht="52" customHeight="1" spans="1:10">
      <c r="A9" s="13" t="s">
        <v>215</v>
      </c>
      <c r="B9" s="13" t="s">
        <v>216</v>
      </c>
      <c r="C9" s="13" t="s">
        <v>217</v>
      </c>
      <c r="D9" s="13">
        <f>COUNTIFS(Attribute_Config!$L$2:$L$41,$A9,Attribute_Config!$C$2:$C$41,"Yes")</f>
        <v>0</v>
      </c>
      <c r="E9" s="13">
        <f>COUNTIFS(Attribute_Config!$L$2:$L$41,$A9,Attribute_Config!$D$2:$D$41,"Yes")</f>
        <v>0</v>
      </c>
      <c r="F9" s="13">
        <f>COUNTIFS(Attribute_Config!$L$2:$L$41,$A9,Attribute_Config!$E$2:$E$41,"Yes")</f>
        <v>5</v>
      </c>
      <c r="G9" s="13" t="s">
        <v>101</v>
      </c>
      <c r="H9" s="13" t="s">
        <v>101</v>
      </c>
      <c r="I9" s="13" t="s">
        <v>307</v>
      </c>
      <c r="J9" s="24" t="s">
        <v>37</v>
      </c>
    </row>
    <row r="10" ht="52" customHeight="1" spans="1:10">
      <c r="A10" s="13" t="s">
        <v>241</v>
      </c>
      <c r="B10" s="13" t="s">
        <v>242</v>
      </c>
      <c r="C10" s="13" t="s">
        <v>243</v>
      </c>
      <c r="D10" s="13">
        <f>COUNTIFS(Attribute_Config!$L$2:$L$41,$A10,Attribute_Config!$C$2:$C$41,"Yes")</f>
        <v>0</v>
      </c>
      <c r="E10" s="13">
        <f>COUNTIFS(Attribute_Config!$L$2:$L$41,$A10,Attribute_Config!$D$2:$D$41,"Yes")</f>
        <v>0</v>
      </c>
      <c r="F10" s="13">
        <f>COUNTIFS(Attribute_Config!$L$2:$L$41,$A10,Attribute_Config!$E$2:$E$41,"Yes")</f>
        <v>1</v>
      </c>
      <c r="G10" s="13" t="s">
        <v>101</v>
      </c>
      <c r="H10" s="13" t="s">
        <v>101</v>
      </c>
      <c r="I10" s="13" t="s">
        <v>238</v>
      </c>
      <c r="J10" s="24" t="s">
        <v>37</v>
      </c>
    </row>
    <row r="11" ht="52" customHeight="1" spans="1:10">
      <c r="A11" s="13" t="s">
        <v>161</v>
      </c>
      <c r="B11" s="13" t="s">
        <v>162</v>
      </c>
      <c r="C11" s="13" t="s">
        <v>163</v>
      </c>
      <c r="D11" s="13">
        <f>COUNTIFS(Attribute_Config!$L$2:$L$41,$A11,Attribute_Config!$C$2:$C$41,"Yes")</f>
        <v>0</v>
      </c>
      <c r="E11" s="13">
        <f>COUNTIFS(Attribute_Config!$L$2:$L$41,$A11,Attribute_Config!$D$2:$D$41,"Yes")</f>
        <v>0</v>
      </c>
      <c r="F11" s="13">
        <f>COUNTIFS(Attribute_Config!$L$2:$L$41,$A11,Attribute_Config!$E$2:$E$41,"Yes")</f>
        <v>1</v>
      </c>
      <c r="G11" s="13" t="s">
        <v>101</v>
      </c>
      <c r="H11" s="13" t="s">
        <v>101</v>
      </c>
      <c r="I11" s="13" t="s">
        <v>157</v>
      </c>
      <c r="J11" s="24" t="s">
        <v>37</v>
      </c>
    </row>
    <row r="12" ht="52" customHeight="1" spans="1:10">
      <c r="A12" s="13" t="s">
        <v>257</v>
      </c>
      <c r="B12" s="13" t="s">
        <v>258</v>
      </c>
      <c r="C12" s="13" t="s">
        <v>259</v>
      </c>
      <c r="D12" s="13">
        <f>COUNTIFS(Attribute_Config!$L$2:$L$41,$A12,Attribute_Config!$C$2:$C$41,"Yes")</f>
        <v>0</v>
      </c>
      <c r="E12" s="13">
        <f>COUNTIFS(Attribute_Config!$L$2:$L$41,$A12,Attribute_Config!$D$2:$D$41,"Yes")</f>
        <v>0</v>
      </c>
      <c r="F12" s="13">
        <f>COUNTIFS(Attribute_Config!$L$2:$L$41,$A12,Attribute_Config!$E$2:$E$41,"Yes")</f>
        <v>1</v>
      </c>
      <c r="G12" s="13" t="s">
        <v>101</v>
      </c>
      <c r="H12" s="13" t="s">
        <v>101</v>
      </c>
      <c r="I12" s="13" t="s">
        <v>252</v>
      </c>
      <c r="J12" s="24" t="s">
        <v>37</v>
      </c>
    </row>
    <row r="13" ht="52" customHeight="1" spans="1:10">
      <c r="A13" s="13" t="s">
        <v>268</v>
      </c>
      <c r="B13" s="13" t="s">
        <v>269</v>
      </c>
      <c r="C13" s="13" t="s">
        <v>270</v>
      </c>
      <c r="D13" s="13">
        <f>COUNTIFS(Attribute_Config!$L$2:$L$41,$A13,Attribute_Config!$C$2:$C$41,"Yes")</f>
        <v>0</v>
      </c>
      <c r="E13" s="13">
        <f>COUNTIFS(Attribute_Config!$L$2:$L$41,$A13,Attribute_Config!$D$2:$D$41,"Yes")</f>
        <v>0</v>
      </c>
      <c r="F13" s="13">
        <f>COUNTIFS(Attribute_Config!$L$2:$L$41,$A13,Attribute_Config!$E$2:$E$41,"Yes")</f>
        <v>1</v>
      </c>
      <c r="G13" s="13" t="s">
        <v>101</v>
      </c>
      <c r="H13" s="13" t="s">
        <v>101</v>
      </c>
      <c r="I13" s="13" t="s">
        <v>263</v>
      </c>
      <c r="J13" s="24" t="s">
        <v>37</v>
      </c>
    </row>
  </sheetData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1"/>
  <sheetViews>
    <sheetView workbookViewId="0">
      <selection activeCell="A1" sqref="A1"/>
    </sheetView>
  </sheetViews>
  <sheetFormatPr defaultColWidth="9" defaultRowHeight="14.25"/>
  <cols>
    <col min="1" max="1" width="6" customWidth="1"/>
    <col min="2" max="2" width="28" customWidth="1"/>
    <col min="3" max="4" width="16" customWidth="1"/>
    <col min="5" max="5" width="10" customWidth="1"/>
    <col min="6" max="6" width="24" customWidth="1"/>
    <col min="7" max="7" width="22" customWidth="1"/>
    <col min="8" max="9" width="16" customWidth="1"/>
    <col min="10" max="10" width="35" customWidth="1"/>
    <col min="11" max="11" width="10" customWidth="1"/>
    <col min="12" max="12" width="12" customWidth="1"/>
    <col min="13" max="13" width="52" customWidth="1"/>
    <col min="14" max="14" width="18" customWidth="1"/>
    <col min="15" max="15" width="30" customWidth="1"/>
    <col min="16" max="16" width="55" customWidth="1"/>
  </cols>
  <sheetData>
    <row r="1" ht="38" customHeight="1" spans="1:16">
      <c r="A1" s="17" t="s">
        <v>0</v>
      </c>
      <c r="B1" s="17" t="s">
        <v>5</v>
      </c>
      <c r="C1" s="17" t="s">
        <v>7</v>
      </c>
      <c r="D1" s="17" t="s">
        <v>308</v>
      </c>
      <c r="E1" s="17" t="s">
        <v>309</v>
      </c>
      <c r="F1" s="17" t="s">
        <v>310</v>
      </c>
      <c r="G1" s="17" t="s">
        <v>311</v>
      </c>
      <c r="H1" s="17" t="s">
        <v>312</v>
      </c>
      <c r="I1" s="17" t="s">
        <v>313</v>
      </c>
      <c r="J1" s="17" t="s">
        <v>314</v>
      </c>
      <c r="K1" s="17" t="s">
        <v>315</v>
      </c>
      <c r="L1" s="17" t="s">
        <v>316</v>
      </c>
      <c r="M1" s="17" t="s">
        <v>286</v>
      </c>
      <c r="N1" s="17" t="s">
        <v>317</v>
      </c>
      <c r="O1" s="17" t="s">
        <v>318</v>
      </c>
      <c r="P1" s="17" t="s">
        <v>319</v>
      </c>
    </row>
    <row r="2" ht="46" customHeight="1" spans="1:16">
      <c r="A2" s="18">
        <v>1</v>
      </c>
      <c r="B2" s="18" t="s">
        <v>24</v>
      </c>
      <c r="C2" s="18" t="s">
        <v>26</v>
      </c>
      <c r="D2" s="18" t="s">
        <v>27</v>
      </c>
      <c r="E2" s="18" t="s">
        <v>22</v>
      </c>
      <c r="F2" s="18" t="s">
        <v>320</v>
      </c>
      <c r="G2" s="18" t="s">
        <v>321</v>
      </c>
      <c r="H2" s="18" t="s">
        <v>322</v>
      </c>
      <c r="I2" s="18" t="s">
        <v>323</v>
      </c>
      <c r="J2" s="18" t="s">
        <v>324</v>
      </c>
      <c r="K2" s="18" t="s">
        <v>325</v>
      </c>
      <c r="L2" s="21" t="s">
        <v>37</v>
      </c>
      <c r="M2" s="18" t="s">
        <v>326</v>
      </c>
      <c r="N2" s="18" t="s">
        <v>327</v>
      </c>
      <c r="O2" s="18" t="s">
        <v>328</v>
      </c>
      <c r="P2" s="18" t="s">
        <v>329</v>
      </c>
    </row>
    <row r="3" ht="46" customHeight="1" spans="1:16">
      <c r="A3" s="18">
        <v>2</v>
      </c>
      <c r="B3" s="18" t="s">
        <v>41</v>
      </c>
      <c r="C3" s="18" t="s">
        <v>42</v>
      </c>
      <c r="D3" s="18" t="s">
        <v>27</v>
      </c>
      <c r="E3" s="18" t="s">
        <v>22</v>
      </c>
      <c r="F3" s="18" t="s">
        <v>320</v>
      </c>
      <c r="G3" s="18" t="s">
        <v>330</v>
      </c>
      <c r="H3" s="18" t="s">
        <v>331</v>
      </c>
      <c r="I3" s="18" t="s">
        <v>331</v>
      </c>
      <c r="J3" s="18" t="s">
        <v>332</v>
      </c>
      <c r="K3" s="18" t="s">
        <v>325</v>
      </c>
      <c r="L3" s="21" t="s">
        <v>37</v>
      </c>
      <c r="M3" s="18" t="s">
        <v>326</v>
      </c>
      <c r="N3" s="18" t="s">
        <v>327</v>
      </c>
      <c r="O3" s="18" t="s">
        <v>333</v>
      </c>
      <c r="P3" s="18" t="s">
        <v>329</v>
      </c>
    </row>
    <row r="4" ht="78" customHeight="1" spans="1:16">
      <c r="A4" s="18">
        <v>3</v>
      </c>
      <c r="B4" s="18" t="s">
        <v>46</v>
      </c>
      <c r="C4" s="18" t="s">
        <v>47</v>
      </c>
      <c r="D4" s="18" t="s">
        <v>48</v>
      </c>
      <c r="E4" s="18" t="s">
        <v>22</v>
      </c>
      <c r="F4" s="18" t="s">
        <v>320</v>
      </c>
      <c r="G4" s="18" t="s">
        <v>330</v>
      </c>
      <c r="H4" s="18" t="s">
        <v>331</v>
      </c>
      <c r="I4" s="18" t="s">
        <v>331</v>
      </c>
      <c r="J4" s="18" t="s">
        <v>332</v>
      </c>
      <c r="K4" s="18" t="s">
        <v>334</v>
      </c>
      <c r="L4" s="21" t="s">
        <v>37</v>
      </c>
      <c r="M4" s="18" t="s">
        <v>326</v>
      </c>
      <c r="N4" s="18" t="s">
        <v>327</v>
      </c>
      <c r="O4" s="18" t="s">
        <v>335</v>
      </c>
      <c r="P4" s="18" t="s">
        <v>336</v>
      </c>
    </row>
    <row r="5" ht="78" customHeight="1" spans="1:16">
      <c r="A5" s="18">
        <v>4</v>
      </c>
      <c r="B5" s="18" t="s">
        <v>51</v>
      </c>
      <c r="C5" s="18" t="s">
        <v>52</v>
      </c>
      <c r="D5" s="18" t="s">
        <v>48</v>
      </c>
      <c r="E5" s="18" t="s">
        <v>22</v>
      </c>
      <c r="F5" s="18" t="s">
        <v>320</v>
      </c>
      <c r="G5" s="18" t="s">
        <v>337</v>
      </c>
      <c r="H5" s="18" t="s">
        <v>331</v>
      </c>
      <c r="I5" s="18" t="s">
        <v>331</v>
      </c>
      <c r="J5" s="18" t="s">
        <v>332</v>
      </c>
      <c r="K5" s="18" t="s">
        <v>338</v>
      </c>
      <c r="L5" s="21" t="s">
        <v>37</v>
      </c>
      <c r="M5" s="18" t="s">
        <v>326</v>
      </c>
      <c r="N5" s="18" t="s">
        <v>327</v>
      </c>
      <c r="O5" s="18" t="s">
        <v>339</v>
      </c>
      <c r="P5" s="18" t="s">
        <v>340</v>
      </c>
    </row>
    <row r="6" ht="78" customHeight="1" spans="1:16">
      <c r="A6" s="18">
        <v>5</v>
      </c>
      <c r="B6" s="18" t="s">
        <v>55</v>
      </c>
      <c r="C6" s="18" t="s">
        <v>56</v>
      </c>
      <c r="D6" s="18" t="s">
        <v>48</v>
      </c>
      <c r="E6" s="18" t="s">
        <v>22</v>
      </c>
      <c r="F6" s="18" t="s">
        <v>320</v>
      </c>
      <c r="G6" s="18" t="s">
        <v>337</v>
      </c>
      <c r="H6" s="18" t="s">
        <v>331</v>
      </c>
      <c r="I6" s="18" t="s">
        <v>331</v>
      </c>
      <c r="J6" s="18" t="s">
        <v>332</v>
      </c>
      <c r="K6" s="18" t="s">
        <v>325</v>
      </c>
      <c r="L6" s="21" t="s">
        <v>37</v>
      </c>
      <c r="M6" s="18" t="s">
        <v>326</v>
      </c>
      <c r="N6" s="18" t="s">
        <v>327</v>
      </c>
      <c r="O6" s="18" t="s">
        <v>341</v>
      </c>
      <c r="P6" s="18" t="s">
        <v>329</v>
      </c>
    </row>
    <row r="7" ht="46" customHeight="1" spans="1:16">
      <c r="A7" s="18">
        <v>6</v>
      </c>
      <c r="B7" s="18" t="s">
        <v>63</v>
      </c>
      <c r="C7" s="18" t="s">
        <v>64</v>
      </c>
      <c r="D7" s="18" t="s">
        <v>48</v>
      </c>
      <c r="E7" s="18" t="s">
        <v>22</v>
      </c>
      <c r="F7" s="18" t="s">
        <v>320</v>
      </c>
      <c r="G7" s="18" t="s">
        <v>337</v>
      </c>
      <c r="H7" s="18" t="s">
        <v>331</v>
      </c>
      <c r="I7" s="18" t="s">
        <v>331</v>
      </c>
      <c r="J7" s="18" t="s">
        <v>332</v>
      </c>
      <c r="K7" s="18" t="s">
        <v>325</v>
      </c>
      <c r="L7" s="21" t="s">
        <v>37</v>
      </c>
      <c r="M7" s="18" t="s">
        <v>326</v>
      </c>
      <c r="N7" s="18" t="s">
        <v>327</v>
      </c>
      <c r="O7" s="18" t="s">
        <v>342</v>
      </c>
      <c r="P7" s="18" t="s">
        <v>329</v>
      </c>
    </row>
    <row r="8" ht="46" customHeight="1" spans="1:16">
      <c r="A8" s="18">
        <v>7</v>
      </c>
      <c r="B8" s="18" t="s">
        <v>67</v>
      </c>
      <c r="C8" s="18" t="s">
        <v>68</v>
      </c>
      <c r="D8" s="18" t="s">
        <v>48</v>
      </c>
      <c r="E8" s="18" t="s">
        <v>22</v>
      </c>
      <c r="F8" s="18" t="s">
        <v>320</v>
      </c>
      <c r="G8" s="18" t="s">
        <v>321</v>
      </c>
      <c r="H8" s="18" t="s">
        <v>343</v>
      </c>
      <c r="I8" s="18" t="s">
        <v>344</v>
      </c>
      <c r="J8" s="18" t="s">
        <v>345</v>
      </c>
      <c r="K8" s="18" t="s">
        <v>325</v>
      </c>
      <c r="L8" s="21" t="s">
        <v>37</v>
      </c>
      <c r="M8" s="18" t="s">
        <v>346</v>
      </c>
      <c r="N8" s="18" t="s">
        <v>327</v>
      </c>
      <c r="O8" s="18" t="s">
        <v>347</v>
      </c>
      <c r="P8" s="18" t="s">
        <v>329</v>
      </c>
    </row>
    <row r="9" ht="46" customHeight="1" spans="1:16">
      <c r="A9" s="18">
        <v>8</v>
      </c>
      <c r="B9" s="18" t="s">
        <v>76</v>
      </c>
      <c r="C9" s="18" t="s">
        <v>77</v>
      </c>
      <c r="D9" s="18" t="s">
        <v>78</v>
      </c>
      <c r="E9" s="18" t="s">
        <v>22</v>
      </c>
      <c r="F9" s="18" t="s">
        <v>320</v>
      </c>
      <c r="G9" s="18" t="s">
        <v>321</v>
      </c>
      <c r="H9" s="18" t="s">
        <v>348</v>
      </c>
      <c r="I9" s="18" t="s">
        <v>349</v>
      </c>
      <c r="J9" s="18" t="s">
        <v>350</v>
      </c>
      <c r="K9" s="18" t="s">
        <v>351</v>
      </c>
      <c r="L9" s="21" t="s">
        <v>37</v>
      </c>
      <c r="M9" s="18" t="s">
        <v>326</v>
      </c>
      <c r="N9" s="18" t="s">
        <v>327</v>
      </c>
      <c r="O9" s="18" t="s">
        <v>352</v>
      </c>
      <c r="P9" s="18" t="s">
        <v>353</v>
      </c>
    </row>
    <row r="10" ht="78" customHeight="1" spans="1:16">
      <c r="A10" s="18">
        <v>9</v>
      </c>
      <c r="B10" s="18" t="s">
        <v>81</v>
      </c>
      <c r="C10" s="18" t="s">
        <v>83</v>
      </c>
      <c r="D10" s="18" t="s">
        <v>78</v>
      </c>
      <c r="E10" s="18" t="s">
        <v>22</v>
      </c>
      <c r="F10" s="18" t="s">
        <v>320</v>
      </c>
      <c r="G10" s="18" t="s">
        <v>337</v>
      </c>
      <c r="H10" s="18" t="s">
        <v>331</v>
      </c>
      <c r="I10" s="18" t="s">
        <v>331</v>
      </c>
      <c r="J10" s="18" t="s">
        <v>332</v>
      </c>
      <c r="K10" s="18" t="s">
        <v>354</v>
      </c>
      <c r="L10" s="21" t="s">
        <v>37</v>
      </c>
      <c r="M10" s="18" t="s">
        <v>326</v>
      </c>
      <c r="N10" s="18" t="s">
        <v>327</v>
      </c>
      <c r="O10" s="18" t="s">
        <v>355</v>
      </c>
      <c r="P10" s="18" t="s">
        <v>356</v>
      </c>
    </row>
    <row r="11" ht="78" customHeight="1" spans="1:16">
      <c r="A11" s="18">
        <v>10</v>
      </c>
      <c r="B11" s="18" t="s">
        <v>91</v>
      </c>
      <c r="C11" s="18" t="s">
        <v>92</v>
      </c>
      <c r="D11" s="18" t="s">
        <v>93</v>
      </c>
      <c r="E11" s="18" t="s">
        <v>22</v>
      </c>
      <c r="F11" s="18" t="s">
        <v>320</v>
      </c>
      <c r="G11" s="18" t="s">
        <v>337</v>
      </c>
      <c r="H11" s="18" t="s">
        <v>331</v>
      </c>
      <c r="I11" s="18" t="s">
        <v>331</v>
      </c>
      <c r="J11" s="18" t="s">
        <v>332</v>
      </c>
      <c r="K11" s="18" t="s">
        <v>357</v>
      </c>
      <c r="L11" s="21" t="s">
        <v>37</v>
      </c>
      <c r="M11" s="18" t="s">
        <v>326</v>
      </c>
      <c r="N11" s="18" t="s">
        <v>327</v>
      </c>
      <c r="O11" s="18" t="s">
        <v>358</v>
      </c>
      <c r="P11" s="18" t="s">
        <v>359</v>
      </c>
    </row>
    <row r="12" ht="46" customHeight="1" spans="1:16">
      <c r="A12" s="19">
        <v>11</v>
      </c>
      <c r="B12" s="19" t="s">
        <v>98</v>
      </c>
      <c r="C12" s="19" t="s">
        <v>99</v>
      </c>
      <c r="D12" s="19" t="s">
        <v>27</v>
      </c>
      <c r="E12" s="19" t="s">
        <v>96</v>
      </c>
      <c r="F12" s="19" t="s">
        <v>320</v>
      </c>
      <c r="G12" s="19" t="s">
        <v>360</v>
      </c>
      <c r="H12" s="19" t="s">
        <v>361</v>
      </c>
      <c r="I12" s="19" t="s">
        <v>362</v>
      </c>
      <c r="J12" s="19" t="s">
        <v>363</v>
      </c>
      <c r="K12" s="19" t="s">
        <v>325</v>
      </c>
      <c r="L12" s="22" t="s">
        <v>37</v>
      </c>
      <c r="M12" s="19" t="s">
        <v>364</v>
      </c>
      <c r="N12" s="19" t="s">
        <v>365</v>
      </c>
      <c r="O12" s="19" t="s">
        <v>366</v>
      </c>
      <c r="P12" s="19" t="s">
        <v>329</v>
      </c>
    </row>
    <row r="13" ht="46" customHeight="1" spans="1:16">
      <c r="A13" s="19">
        <v>12</v>
      </c>
      <c r="B13" s="19" t="s">
        <v>106</v>
      </c>
      <c r="C13" s="19" t="s">
        <v>107</v>
      </c>
      <c r="D13" s="19" t="s">
        <v>27</v>
      </c>
      <c r="E13" s="19" t="s">
        <v>96</v>
      </c>
      <c r="F13" s="19" t="s">
        <v>320</v>
      </c>
      <c r="G13" s="19" t="s">
        <v>360</v>
      </c>
      <c r="H13" s="19" t="s">
        <v>367</v>
      </c>
      <c r="I13" s="19" t="s">
        <v>368</v>
      </c>
      <c r="J13" s="19" t="s">
        <v>369</v>
      </c>
      <c r="K13" s="19" t="s">
        <v>325</v>
      </c>
      <c r="L13" s="22" t="s">
        <v>37</v>
      </c>
      <c r="M13" s="19" t="s">
        <v>364</v>
      </c>
      <c r="N13" s="19" t="s">
        <v>365</v>
      </c>
      <c r="O13" s="19" t="s">
        <v>370</v>
      </c>
      <c r="P13" s="19" t="s">
        <v>329</v>
      </c>
    </row>
    <row r="14" ht="46" customHeight="1" spans="1:16">
      <c r="A14" s="19">
        <v>13</v>
      </c>
      <c r="B14" s="19" t="s">
        <v>110</v>
      </c>
      <c r="C14" s="19" t="s">
        <v>111</v>
      </c>
      <c r="D14" s="19" t="s">
        <v>48</v>
      </c>
      <c r="E14" s="19" t="s">
        <v>96</v>
      </c>
      <c r="F14" s="19" t="s">
        <v>320</v>
      </c>
      <c r="G14" s="19" t="s">
        <v>330</v>
      </c>
      <c r="H14" s="19" t="s">
        <v>331</v>
      </c>
      <c r="I14" s="19" t="s">
        <v>331</v>
      </c>
      <c r="J14" s="19" t="s">
        <v>332</v>
      </c>
      <c r="K14" s="19" t="s">
        <v>325</v>
      </c>
      <c r="L14" s="22" t="s">
        <v>37</v>
      </c>
      <c r="M14" s="19" t="s">
        <v>364</v>
      </c>
      <c r="N14" s="19" t="s">
        <v>365</v>
      </c>
      <c r="O14" s="19" t="s">
        <v>371</v>
      </c>
      <c r="P14" s="19" t="s">
        <v>329</v>
      </c>
    </row>
    <row r="15" ht="46" customHeight="1" spans="1:16">
      <c r="A15" s="19">
        <v>14</v>
      </c>
      <c r="B15" s="19" t="s">
        <v>114</v>
      </c>
      <c r="C15" s="19" t="s">
        <v>115</v>
      </c>
      <c r="D15" s="19" t="s">
        <v>78</v>
      </c>
      <c r="E15" s="19" t="s">
        <v>96</v>
      </c>
      <c r="F15" s="19" t="s">
        <v>320</v>
      </c>
      <c r="G15" s="19" t="s">
        <v>360</v>
      </c>
      <c r="H15" s="19" t="s">
        <v>372</v>
      </c>
      <c r="I15" s="19" t="s">
        <v>373</v>
      </c>
      <c r="J15" s="19" t="s">
        <v>374</v>
      </c>
      <c r="K15" s="19" t="s">
        <v>351</v>
      </c>
      <c r="L15" s="22" t="s">
        <v>37</v>
      </c>
      <c r="M15" s="19" t="s">
        <v>364</v>
      </c>
      <c r="N15" s="19" t="s">
        <v>365</v>
      </c>
      <c r="O15" s="19" t="s">
        <v>375</v>
      </c>
      <c r="P15" s="19" t="s">
        <v>353</v>
      </c>
    </row>
    <row r="16" ht="46" customHeight="1" spans="1:16">
      <c r="A16" s="19">
        <v>15</v>
      </c>
      <c r="B16" s="19" t="s">
        <v>118</v>
      </c>
      <c r="C16" s="19" t="s">
        <v>119</v>
      </c>
      <c r="D16" s="19" t="s">
        <v>120</v>
      </c>
      <c r="E16" s="19" t="s">
        <v>96</v>
      </c>
      <c r="F16" s="19" t="s">
        <v>320</v>
      </c>
      <c r="G16" s="19" t="s">
        <v>376</v>
      </c>
      <c r="H16" s="19" t="s">
        <v>331</v>
      </c>
      <c r="I16" s="19" t="s">
        <v>331</v>
      </c>
      <c r="J16" s="19" t="s">
        <v>332</v>
      </c>
      <c r="K16" s="19" t="s">
        <v>377</v>
      </c>
      <c r="L16" s="22" t="s">
        <v>37</v>
      </c>
      <c r="M16" s="19" t="s">
        <v>364</v>
      </c>
      <c r="N16" s="19" t="s">
        <v>365</v>
      </c>
      <c r="O16" s="19" t="s">
        <v>378</v>
      </c>
      <c r="P16" s="19" t="s">
        <v>379</v>
      </c>
    </row>
    <row r="17" ht="46" customHeight="1" spans="1:16">
      <c r="A17" s="19">
        <v>16</v>
      </c>
      <c r="B17" s="19" t="s">
        <v>127</v>
      </c>
      <c r="C17" s="19" t="s">
        <v>128</v>
      </c>
      <c r="D17" s="19" t="s">
        <v>120</v>
      </c>
      <c r="E17" s="19" t="s">
        <v>96</v>
      </c>
      <c r="F17" s="19" t="s">
        <v>320</v>
      </c>
      <c r="G17" s="19" t="s">
        <v>376</v>
      </c>
      <c r="H17" s="19" t="s">
        <v>331</v>
      </c>
      <c r="I17" s="19" t="s">
        <v>331</v>
      </c>
      <c r="J17" s="19" t="s">
        <v>332</v>
      </c>
      <c r="K17" s="19" t="s">
        <v>380</v>
      </c>
      <c r="L17" s="22" t="s">
        <v>37</v>
      </c>
      <c r="M17" s="19" t="s">
        <v>364</v>
      </c>
      <c r="N17" s="19" t="s">
        <v>365</v>
      </c>
      <c r="O17" s="19" t="s">
        <v>381</v>
      </c>
      <c r="P17" s="19" t="s">
        <v>382</v>
      </c>
    </row>
    <row r="18" ht="56" customHeight="1" spans="1:16">
      <c r="A18" s="19">
        <v>17</v>
      </c>
      <c r="B18" s="19" t="s">
        <v>131</v>
      </c>
      <c r="C18" s="19" t="s">
        <v>132</v>
      </c>
      <c r="D18" s="19" t="s">
        <v>120</v>
      </c>
      <c r="E18" s="19" t="s">
        <v>96</v>
      </c>
      <c r="F18" s="19" t="s">
        <v>320</v>
      </c>
      <c r="G18" s="19" t="s">
        <v>337</v>
      </c>
      <c r="H18" s="19" t="s">
        <v>331</v>
      </c>
      <c r="I18" s="19" t="s">
        <v>331</v>
      </c>
      <c r="J18" s="19" t="s">
        <v>332</v>
      </c>
      <c r="K18" s="19" t="s">
        <v>383</v>
      </c>
      <c r="L18" s="22" t="s">
        <v>37</v>
      </c>
      <c r="M18" s="19" t="s">
        <v>364</v>
      </c>
      <c r="N18" s="19" t="s">
        <v>365</v>
      </c>
      <c r="O18" s="19" t="s">
        <v>384</v>
      </c>
      <c r="P18" s="19" t="s">
        <v>385</v>
      </c>
    </row>
    <row r="19" ht="46" customHeight="1" spans="1:16">
      <c r="A19" s="19">
        <v>18</v>
      </c>
      <c r="B19" s="19" t="s">
        <v>135</v>
      </c>
      <c r="C19" s="19" t="s">
        <v>136</v>
      </c>
      <c r="D19" s="19" t="s">
        <v>120</v>
      </c>
      <c r="E19" s="19" t="s">
        <v>96</v>
      </c>
      <c r="F19" s="19" t="s">
        <v>320</v>
      </c>
      <c r="G19" s="19" t="s">
        <v>376</v>
      </c>
      <c r="H19" s="19" t="s">
        <v>331</v>
      </c>
      <c r="I19" s="19" t="s">
        <v>331</v>
      </c>
      <c r="J19" s="19" t="s">
        <v>332</v>
      </c>
      <c r="K19" s="19" t="s">
        <v>386</v>
      </c>
      <c r="L19" s="22" t="s">
        <v>37</v>
      </c>
      <c r="M19" s="19" t="s">
        <v>364</v>
      </c>
      <c r="N19" s="19" t="s">
        <v>365</v>
      </c>
      <c r="O19" s="19" t="s">
        <v>387</v>
      </c>
      <c r="P19" s="19" t="s">
        <v>388</v>
      </c>
    </row>
    <row r="20" ht="46" customHeight="1" spans="1:16">
      <c r="A20" s="19">
        <v>19</v>
      </c>
      <c r="B20" s="19" t="s">
        <v>139</v>
      </c>
      <c r="C20" s="19" t="s">
        <v>140</v>
      </c>
      <c r="D20" s="19" t="s">
        <v>48</v>
      </c>
      <c r="E20" s="19" t="s">
        <v>96</v>
      </c>
      <c r="F20" s="19" t="s">
        <v>320</v>
      </c>
      <c r="G20" s="19" t="s">
        <v>360</v>
      </c>
      <c r="H20" s="19" t="s">
        <v>389</v>
      </c>
      <c r="I20" s="19" t="s">
        <v>390</v>
      </c>
      <c r="J20" s="19" t="s">
        <v>391</v>
      </c>
      <c r="K20" s="19" t="s">
        <v>392</v>
      </c>
      <c r="L20" s="22" t="s">
        <v>37</v>
      </c>
      <c r="M20" s="19" t="s">
        <v>364</v>
      </c>
      <c r="N20" s="19" t="s">
        <v>365</v>
      </c>
      <c r="O20" s="19" t="s">
        <v>393</v>
      </c>
      <c r="P20" s="19" t="s">
        <v>394</v>
      </c>
    </row>
    <row r="21" ht="56" customHeight="1" spans="1:16">
      <c r="A21" s="19">
        <v>20</v>
      </c>
      <c r="B21" s="19" t="s">
        <v>143</v>
      </c>
      <c r="C21" s="19" t="s">
        <v>144</v>
      </c>
      <c r="D21" s="19" t="s">
        <v>48</v>
      </c>
      <c r="E21" s="19" t="s">
        <v>96</v>
      </c>
      <c r="F21" s="19" t="s">
        <v>320</v>
      </c>
      <c r="G21" s="19" t="s">
        <v>376</v>
      </c>
      <c r="H21" s="19" t="s">
        <v>331</v>
      </c>
      <c r="I21" s="19" t="s">
        <v>331</v>
      </c>
      <c r="J21" s="19" t="s">
        <v>332</v>
      </c>
      <c r="K21" s="19" t="s">
        <v>395</v>
      </c>
      <c r="L21" s="22" t="s">
        <v>37</v>
      </c>
      <c r="M21" s="19" t="s">
        <v>364</v>
      </c>
      <c r="N21" s="19" t="s">
        <v>365</v>
      </c>
      <c r="O21" s="19" t="s">
        <v>396</v>
      </c>
      <c r="P21" s="19" t="s">
        <v>397</v>
      </c>
    </row>
    <row r="22" ht="46" customHeight="1" spans="1:16">
      <c r="A22" s="20">
        <v>21</v>
      </c>
      <c r="B22" s="20" t="s">
        <v>148</v>
      </c>
      <c r="C22" s="20" t="s">
        <v>149</v>
      </c>
      <c r="D22" s="20" t="s">
        <v>150</v>
      </c>
      <c r="E22" s="20" t="s">
        <v>147</v>
      </c>
      <c r="F22" s="20" t="s">
        <v>320</v>
      </c>
      <c r="G22" s="20" t="s">
        <v>376</v>
      </c>
      <c r="H22" s="20" t="s">
        <v>331</v>
      </c>
      <c r="I22" s="20" t="s">
        <v>331</v>
      </c>
      <c r="J22" s="20" t="s">
        <v>332</v>
      </c>
      <c r="K22" s="20" t="s">
        <v>398</v>
      </c>
      <c r="L22" s="23" t="s">
        <v>37</v>
      </c>
      <c r="M22" s="20" t="s">
        <v>364</v>
      </c>
      <c r="N22" s="20" t="s">
        <v>365</v>
      </c>
      <c r="O22" s="20" t="s">
        <v>399</v>
      </c>
      <c r="P22" s="20" t="s">
        <v>400</v>
      </c>
    </row>
    <row r="23" ht="46" customHeight="1" spans="1:16">
      <c r="A23" s="20">
        <v>22</v>
      </c>
      <c r="B23" s="20" t="s">
        <v>153</v>
      </c>
      <c r="C23" s="20" t="s">
        <v>154</v>
      </c>
      <c r="D23" s="20" t="s">
        <v>150</v>
      </c>
      <c r="E23" s="20" t="s">
        <v>147</v>
      </c>
      <c r="F23" s="20" t="s">
        <v>320</v>
      </c>
      <c r="G23" s="20" t="s">
        <v>360</v>
      </c>
      <c r="H23" s="20" t="s">
        <v>401</v>
      </c>
      <c r="I23" s="20" t="s">
        <v>402</v>
      </c>
      <c r="J23" s="20" t="s">
        <v>403</v>
      </c>
      <c r="K23" s="20" t="s">
        <v>404</v>
      </c>
      <c r="L23" s="23" t="s">
        <v>37</v>
      </c>
      <c r="M23" s="20" t="s">
        <v>364</v>
      </c>
      <c r="N23" s="20" t="s">
        <v>365</v>
      </c>
      <c r="O23" s="20" t="s">
        <v>405</v>
      </c>
      <c r="P23" s="20" t="s">
        <v>406</v>
      </c>
    </row>
    <row r="24" ht="46" customHeight="1" spans="1:16">
      <c r="A24" s="20">
        <v>23</v>
      </c>
      <c r="B24" s="20" t="s">
        <v>157</v>
      </c>
      <c r="C24" s="20" t="s">
        <v>158</v>
      </c>
      <c r="D24" s="20" t="s">
        <v>159</v>
      </c>
      <c r="E24" s="20" t="s">
        <v>147</v>
      </c>
      <c r="F24" s="20" t="s">
        <v>320</v>
      </c>
      <c r="G24" s="20" t="s">
        <v>376</v>
      </c>
      <c r="H24" s="20" t="s">
        <v>331</v>
      </c>
      <c r="I24" s="20" t="s">
        <v>331</v>
      </c>
      <c r="J24" s="20" t="s">
        <v>332</v>
      </c>
      <c r="K24" s="20" t="s">
        <v>407</v>
      </c>
      <c r="L24" s="23" t="s">
        <v>37</v>
      </c>
      <c r="M24" s="20" t="s">
        <v>364</v>
      </c>
      <c r="N24" s="20" t="s">
        <v>365</v>
      </c>
      <c r="O24" s="20" t="s">
        <v>408</v>
      </c>
      <c r="P24" s="20" t="s">
        <v>409</v>
      </c>
    </row>
    <row r="25" ht="46" customHeight="1" spans="1:16">
      <c r="A25" s="20">
        <v>24</v>
      </c>
      <c r="B25" s="20" t="s">
        <v>166</v>
      </c>
      <c r="C25" s="20" t="s">
        <v>168</v>
      </c>
      <c r="D25" s="20" t="s">
        <v>48</v>
      </c>
      <c r="E25" s="20" t="s">
        <v>147</v>
      </c>
      <c r="F25" s="20" t="s">
        <v>410</v>
      </c>
      <c r="G25" s="20" t="s">
        <v>360</v>
      </c>
      <c r="H25" s="20" t="s">
        <v>101</v>
      </c>
      <c r="I25" s="20" t="s">
        <v>411</v>
      </c>
      <c r="J25" s="20" t="s">
        <v>412</v>
      </c>
      <c r="K25" s="20" t="s">
        <v>413</v>
      </c>
      <c r="L25" s="23" t="s">
        <v>37</v>
      </c>
      <c r="M25" s="20" t="s">
        <v>364</v>
      </c>
      <c r="N25" s="20" t="s">
        <v>365</v>
      </c>
      <c r="O25" s="20" t="s">
        <v>414</v>
      </c>
      <c r="P25" s="20" t="s">
        <v>415</v>
      </c>
    </row>
    <row r="26" ht="46" customHeight="1" spans="1:16">
      <c r="A26" s="20">
        <v>25</v>
      </c>
      <c r="B26" s="20" t="s">
        <v>176</v>
      </c>
      <c r="C26" s="20" t="s">
        <v>178</v>
      </c>
      <c r="D26" s="20" t="s">
        <v>48</v>
      </c>
      <c r="E26" s="20" t="s">
        <v>147</v>
      </c>
      <c r="F26" s="20" t="s">
        <v>410</v>
      </c>
      <c r="G26" s="20" t="s">
        <v>376</v>
      </c>
      <c r="H26" s="20" t="s">
        <v>331</v>
      </c>
      <c r="I26" s="20" t="s">
        <v>331</v>
      </c>
      <c r="J26" s="20" t="s">
        <v>332</v>
      </c>
      <c r="K26" s="20" t="s">
        <v>413</v>
      </c>
      <c r="L26" s="23" t="s">
        <v>37</v>
      </c>
      <c r="M26" s="20" t="s">
        <v>364</v>
      </c>
      <c r="N26" s="20" t="s">
        <v>365</v>
      </c>
      <c r="O26" s="20" t="s">
        <v>416</v>
      </c>
      <c r="P26" s="20" t="s">
        <v>415</v>
      </c>
    </row>
    <row r="27" ht="46" customHeight="1" spans="1:16">
      <c r="A27" s="20">
        <v>26</v>
      </c>
      <c r="B27" s="20" t="s">
        <v>182</v>
      </c>
      <c r="C27" s="20" t="s">
        <v>183</v>
      </c>
      <c r="D27" s="20" t="s">
        <v>93</v>
      </c>
      <c r="E27" s="20" t="s">
        <v>147</v>
      </c>
      <c r="F27" s="20" t="s">
        <v>320</v>
      </c>
      <c r="G27" s="20" t="s">
        <v>376</v>
      </c>
      <c r="H27" s="20" t="s">
        <v>331</v>
      </c>
      <c r="I27" s="20" t="s">
        <v>331</v>
      </c>
      <c r="J27" s="20" t="s">
        <v>332</v>
      </c>
      <c r="K27" s="20" t="s">
        <v>417</v>
      </c>
      <c r="L27" s="23" t="s">
        <v>37</v>
      </c>
      <c r="M27" s="20" t="s">
        <v>418</v>
      </c>
      <c r="N27" s="20" t="s">
        <v>365</v>
      </c>
      <c r="O27" s="20" t="s">
        <v>419</v>
      </c>
      <c r="P27" s="20" t="s">
        <v>420</v>
      </c>
    </row>
    <row r="28" ht="46" customHeight="1" spans="1:16">
      <c r="A28" s="20">
        <v>27</v>
      </c>
      <c r="B28" s="20" t="s">
        <v>190</v>
      </c>
      <c r="C28" s="20" t="s">
        <v>191</v>
      </c>
      <c r="D28" s="20" t="s">
        <v>192</v>
      </c>
      <c r="E28" s="20" t="s">
        <v>147</v>
      </c>
      <c r="F28" s="20" t="s">
        <v>320</v>
      </c>
      <c r="G28" s="20" t="s">
        <v>376</v>
      </c>
      <c r="H28" s="20" t="s">
        <v>331</v>
      </c>
      <c r="I28" s="20" t="s">
        <v>331</v>
      </c>
      <c r="J28" s="20" t="s">
        <v>332</v>
      </c>
      <c r="K28" s="20" t="s">
        <v>417</v>
      </c>
      <c r="L28" s="23" t="s">
        <v>37</v>
      </c>
      <c r="M28" s="20" t="s">
        <v>418</v>
      </c>
      <c r="N28" s="20" t="s">
        <v>365</v>
      </c>
      <c r="O28" s="20" t="s">
        <v>421</v>
      </c>
      <c r="P28" s="20" t="s">
        <v>420</v>
      </c>
    </row>
    <row r="29" ht="46" customHeight="1" spans="1:16">
      <c r="A29" s="20">
        <v>28</v>
      </c>
      <c r="B29" s="20" t="s">
        <v>195</v>
      </c>
      <c r="C29" s="20" t="s">
        <v>196</v>
      </c>
      <c r="D29" s="20" t="s">
        <v>192</v>
      </c>
      <c r="E29" s="20" t="s">
        <v>147</v>
      </c>
      <c r="F29" s="20" t="s">
        <v>320</v>
      </c>
      <c r="G29" s="20" t="s">
        <v>376</v>
      </c>
      <c r="H29" s="20" t="s">
        <v>331</v>
      </c>
      <c r="I29" s="20" t="s">
        <v>331</v>
      </c>
      <c r="J29" s="20" t="s">
        <v>332</v>
      </c>
      <c r="K29" s="20" t="s">
        <v>417</v>
      </c>
      <c r="L29" s="23" t="s">
        <v>37</v>
      </c>
      <c r="M29" s="20" t="s">
        <v>418</v>
      </c>
      <c r="N29" s="20" t="s">
        <v>365</v>
      </c>
      <c r="O29" s="20" t="s">
        <v>422</v>
      </c>
      <c r="P29" s="20" t="s">
        <v>420</v>
      </c>
    </row>
    <row r="30" ht="46" customHeight="1" spans="1:16">
      <c r="A30" s="20">
        <v>29</v>
      </c>
      <c r="B30" s="20" t="s">
        <v>199</v>
      </c>
      <c r="C30" s="20" t="s">
        <v>200</v>
      </c>
      <c r="D30" s="20" t="s">
        <v>192</v>
      </c>
      <c r="E30" s="20" t="s">
        <v>147</v>
      </c>
      <c r="F30" s="20" t="s">
        <v>320</v>
      </c>
      <c r="G30" s="20" t="s">
        <v>376</v>
      </c>
      <c r="H30" s="20" t="s">
        <v>331</v>
      </c>
      <c r="I30" s="20" t="s">
        <v>331</v>
      </c>
      <c r="J30" s="20" t="s">
        <v>332</v>
      </c>
      <c r="K30" s="20" t="s">
        <v>417</v>
      </c>
      <c r="L30" s="23" t="s">
        <v>37</v>
      </c>
      <c r="M30" s="20" t="s">
        <v>418</v>
      </c>
      <c r="N30" s="20" t="s">
        <v>365</v>
      </c>
      <c r="O30" s="20" t="s">
        <v>423</v>
      </c>
      <c r="P30" s="20" t="s">
        <v>420</v>
      </c>
    </row>
    <row r="31" ht="46" customHeight="1" spans="1:16">
      <c r="A31" s="20">
        <v>30</v>
      </c>
      <c r="B31" s="20" t="s">
        <v>203</v>
      </c>
      <c r="C31" s="20" t="s">
        <v>204</v>
      </c>
      <c r="D31" s="20" t="s">
        <v>192</v>
      </c>
      <c r="E31" s="20" t="s">
        <v>147</v>
      </c>
      <c r="F31" s="20" t="s">
        <v>320</v>
      </c>
      <c r="G31" s="20" t="s">
        <v>376</v>
      </c>
      <c r="H31" s="20" t="s">
        <v>331</v>
      </c>
      <c r="I31" s="20" t="s">
        <v>331</v>
      </c>
      <c r="J31" s="20" t="s">
        <v>332</v>
      </c>
      <c r="K31" s="20" t="s">
        <v>417</v>
      </c>
      <c r="L31" s="23" t="s">
        <v>37</v>
      </c>
      <c r="M31" s="20" t="s">
        <v>418</v>
      </c>
      <c r="N31" s="20" t="s">
        <v>365</v>
      </c>
      <c r="O31" s="20" t="s">
        <v>424</v>
      </c>
      <c r="P31" s="20" t="s">
        <v>420</v>
      </c>
    </row>
    <row r="32" ht="46" customHeight="1" spans="1:16">
      <c r="A32" s="20">
        <v>31</v>
      </c>
      <c r="B32" s="20" t="s">
        <v>207</v>
      </c>
      <c r="C32" s="20" t="s">
        <v>208</v>
      </c>
      <c r="D32" s="20" t="s">
        <v>192</v>
      </c>
      <c r="E32" s="20" t="s">
        <v>147</v>
      </c>
      <c r="F32" s="20" t="s">
        <v>320</v>
      </c>
      <c r="G32" s="20" t="s">
        <v>376</v>
      </c>
      <c r="H32" s="20" t="s">
        <v>331</v>
      </c>
      <c r="I32" s="20" t="s">
        <v>331</v>
      </c>
      <c r="J32" s="20" t="s">
        <v>332</v>
      </c>
      <c r="K32" s="20" t="s">
        <v>417</v>
      </c>
      <c r="L32" s="23" t="s">
        <v>37</v>
      </c>
      <c r="M32" s="20" t="s">
        <v>418</v>
      </c>
      <c r="N32" s="20" t="s">
        <v>365</v>
      </c>
      <c r="O32" s="20" t="s">
        <v>425</v>
      </c>
      <c r="P32" s="20" t="s">
        <v>420</v>
      </c>
    </row>
    <row r="33" ht="46" customHeight="1" spans="1:16">
      <c r="A33" s="20">
        <v>32</v>
      </c>
      <c r="B33" s="20" t="s">
        <v>211</v>
      </c>
      <c r="C33" s="20" t="s">
        <v>212</v>
      </c>
      <c r="D33" s="20" t="s">
        <v>213</v>
      </c>
      <c r="E33" s="20" t="s">
        <v>147</v>
      </c>
      <c r="F33" s="20" t="s">
        <v>320</v>
      </c>
      <c r="G33" s="20" t="s">
        <v>376</v>
      </c>
      <c r="H33" s="20" t="s">
        <v>331</v>
      </c>
      <c r="I33" s="20" t="s">
        <v>331</v>
      </c>
      <c r="J33" s="20" t="s">
        <v>332</v>
      </c>
      <c r="K33" s="20" t="s">
        <v>417</v>
      </c>
      <c r="L33" s="23" t="s">
        <v>37</v>
      </c>
      <c r="M33" s="20" t="s">
        <v>418</v>
      </c>
      <c r="N33" s="20" t="s">
        <v>365</v>
      </c>
      <c r="O33" s="20" t="s">
        <v>426</v>
      </c>
      <c r="P33" s="20" t="s">
        <v>420</v>
      </c>
    </row>
    <row r="34" ht="46" customHeight="1" spans="1:16">
      <c r="A34" s="20">
        <v>33</v>
      </c>
      <c r="B34" s="20" t="s">
        <v>220</v>
      </c>
      <c r="C34" s="20" t="s">
        <v>221</v>
      </c>
      <c r="D34" s="20" t="s">
        <v>192</v>
      </c>
      <c r="E34" s="20" t="s">
        <v>147</v>
      </c>
      <c r="F34" s="20" t="s">
        <v>320</v>
      </c>
      <c r="G34" s="20" t="s">
        <v>376</v>
      </c>
      <c r="H34" s="20" t="s">
        <v>331</v>
      </c>
      <c r="I34" s="20" t="s">
        <v>331</v>
      </c>
      <c r="J34" s="20" t="s">
        <v>332</v>
      </c>
      <c r="K34" s="20" t="s">
        <v>417</v>
      </c>
      <c r="L34" s="23" t="s">
        <v>37</v>
      </c>
      <c r="M34" s="20" t="s">
        <v>418</v>
      </c>
      <c r="N34" s="20" t="s">
        <v>365</v>
      </c>
      <c r="O34" s="20" t="s">
        <v>427</v>
      </c>
      <c r="P34" s="20" t="s">
        <v>420</v>
      </c>
    </row>
    <row r="35" ht="46" customHeight="1" spans="1:16">
      <c r="A35" s="20">
        <v>34</v>
      </c>
      <c r="B35" s="20" t="s">
        <v>224</v>
      </c>
      <c r="C35" s="20" t="s">
        <v>225</v>
      </c>
      <c r="D35" s="20" t="s">
        <v>226</v>
      </c>
      <c r="E35" s="20" t="s">
        <v>147</v>
      </c>
      <c r="F35" s="20" t="s">
        <v>320</v>
      </c>
      <c r="G35" s="20" t="s">
        <v>376</v>
      </c>
      <c r="H35" s="20" t="s">
        <v>331</v>
      </c>
      <c r="I35" s="20" t="s">
        <v>331</v>
      </c>
      <c r="J35" s="20" t="s">
        <v>332</v>
      </c>
      <c r="K35" s="20" t="s">
        <v>417</v>
      </c>
      <c r="L35" s="23" t="s">
        <v>37</v>
      </c>
      <c r="M35" s="20" t="s">
        <v>418</v>
      </c>
      <c r="N35" s="20" t="s">
        <v>365</v>
      </c>
      <c r="O35" s="20" t="s">
        <v>428</v>
      </c>
      <c r="P35" s="20" t="s">
        <v>420</v>
      </c>
    </row>
    <row r="36" ht="46" customHeight="1" spans="1:16">
      <c r="A36" s="20">
        <v>35</v>
      </c>
      <c r="B36" s="20" t="s">
        <v>229</v>
      </c>
      <c r="C36" s="20" t="s">
        <v>230</v>
      </c>
      <c r="D36" s="20" t="s">
        <v>192</v>
      </c>
      <c r="E36" s="20" t="s">
        <v>147</v>
      </c>
      <c r="F36" s="20" t="s">
        <v>320</v>
      </c>
      <c r="G36" s="20" t="s">
        <v>376</v>
      </c>
      <c r="H36" s="20" t="s">
        <v>331</v>
      </c>
      <c r="I36" s="20" t="s">
        <v>331</v>
      </c>
      <c r="J36" s="20" t="s">
        <v>332</v>
      </c>
      <c r="K36" s="20" t="s">
        <v>417</v>
      </c>
      <c r="L36" s="23" t="s">
        <v>37</v>
      </c>
      <c r="M36" s="20" t="s">
        <v>418</v>
      </c>
      <c r="N36" s="20" t="s">
        <v>365</v>
      </c>
      <c r="O36" s="20" t="s">
        <v>429</v>
      </c>
      <c r="P36" s="20" t="s">
        <v>420</v>
      </c>
    </row>
    <row r="37" ht="46" customHeight="1" spans="1:16">
      <c r="A37" s="20">
        <v>36</v>
      </c>
      <c r="B37" s="20" t="s">
        <v>233</v>
      </c>
      <c r="C37" s="20" t="s">
        <v>234</v>
      </c>
      <c r="D37" s="20" t="s">
        <v>235</v>
      </c>
      <c r="E37" s="20" t="s">
        <v>147</v>
      </c>
      <c r="F37" s="20" t="s">
        <v>320</v>
      </c>
      <c r="G37" s="20" t="s">
        <v>376</v>
      </c>
      <c r="H37" s="20" t="s">
        <v>331</v>
      </c>
      <c r="I37" s="20" t="s">
        <v>331</v>
      </c>
      <c r="J37" s="20" t="s">
        <v>332</v>
      </c>
      <c r="K37" s="20" t="s">
        <v>417</v>
      </c>
      <c r="L37" s="23" t="s">
        <v>37</v>
      </c>
      <c r="M37" s="20" t="s">
        <v>418</v>
      </c>
      <c r="N37" s="20" t="s">
        <v>365</v>
      </c>
      <c r="O37" s="20" t="s">
        <v>430</v>
      </c>
      <c r="P37" s="20" t="s">
        <v>420</v>
      </c>
    </row>
    <row r="38" ht="46" customHeight="1" spans="1:16">
      <c r="A38" s="20">
        <v>37</v>
      </c>
      <c r="B38" s="20" t="s">
        <v>238</v>
      </c>
      <c r="C38" s="20" t="s">
        <v>239</v>
      </c>
      <c r="D38" s="20" t="s">
        <v>226</v>
      </c>
      <c r="E38" s="20" t="s">
        <v>147</v>
      </c>
      <c r="F38" s="20" t="s">
        <v>320</v>
      </c>
      <c r="G38" s="20" t="s">
        <v>376</v>
      </c>
      <c r="H38" s="20" t="s">
        <v>331</v>
      </c>
      <c r="I38" s="20" t="s">
        <v>331</v>
      </c>
      <c r="J38" s="20" t="s">
        <v>332</v>
      </c>
      <c r="K38" s="20" t="s">
        <v>417</v>
      </c>
      <c r="L38" s="23" t="s">
        <v>37</v>
      </c>
      <c r="M38" s="20" t="s">
        <v>418</v>
      </c>
      <c r="N38" s="20" t="s">
        <v>365</v>
      </c>
      <c r="O38" s="20" t="s">
        <v>431</v>
      </c>
      <c r="P38" s="20" t="s">
        <v>420</v>
      </c>
    </row>
    <row r="39" ht="46" customHeight="1" spans="1:16">
      <c r="A39" s="20">
        <v>38</v>
      </c>
      <c r="B39" s="20" t="s">
        <v>246</v>
      </c>
      <c r="C39" s="20" t="s">
        <v>248</v>
      </c>
      <c r="D39" s="20" t="s">
        <v>192</v>
      </c>
      <c r="E39" s="20" t="s">
        <v>147</v>
      </c>
      <c r="F39" s="20" t="s">
        <v>410</v>
      </c>
      <c r="G39" s="20" t="s">
        <v>360</v>
      </c>
      <c r="H39" s="20" t="s">
        <v>101</v>
      </c>
      <c r="I39" s="20" t="s">
        <v>432</v>
      </c>
      <c r="J39" s="20" t="s">
        <v>433</v>
      </c>
      <c r="K39" s="20" t="s">
        <v>434</v>
      </c>
      <c r="L39" s="23" t="s">
        <v>37</v>
      </c>
      <c r="M39" s="20" t="s">
        <v>435</v>
      </c>
      <c r="N39" s="20" t="s">
        <v>365</v>
      </c>
      <c r="O39" s="20" t="s">
        <v>436</v>
      </c>
      <c r="P39" s="20" t="s">
        <v>437</v>
      </c>
    </row>
    <row r="40" ht="46" customHeight="1" spans="1:16">
      <c r="A40" s="20">
        <v>39</v>
      </c>
      <c r="B40" s="20" t="s">
        <v>252</v>
      </c>
      <c r="C40" s="20" t="s">
        <v>254</v>
      </c>
      <c r="D40" s="20" t="s">
        <v>255</v>
      </c>
      <c r="E40" s="20" t="s">
        <v>147</v>
      </c>
      <c r="F40" s="20" t="s">
        <v>410</v>
      </c>
      <c r="G40" s="20" t="s">
        <v>360</v>
      </c>
      <c r="H40" s="20" t="s">
        <v>101</v>
      </c>
      <c r="I40" s="20" t="s">
        <v>438</v>
      </c>
      <c r="J40" s="20" t="s">
        <v>439</v>
      </c>
      <c r="K40" s="20" t="s">
        <v>440</v>
      </c>
      <c r="L40" s="23" t="s">
        <v>37</v>
      </c>
      <c r="M40" s="20" t="s">
        <v>441</v>
      </c>
      <c r="N40" s="20" t="s">
        <v>365</v>
      </c>
      <c r="O40" s="20" t="s">
        <v>442</v>
      </c>
      <c r="P40" s="20" t="s">
        <v>443</v>
      </c>
    </row>
    <row r="41" ht="46" customHeight="1" spans="1:16">
      <c r="A41" s="20">
        <v>40</v>
      </c>
      <c r="B41" s="20" t="s">
        <v>263</v>
      </c>
      <c r="C41" s="20" t="s">
        <v>265</v>
      </c>
      <c r="D41" s="20" t="s">
        <v>266</v>
      </c>
      <c r="E41" s="20" t="s">
        <v>147</v>
      </c>
      <c r="F41" s="20" t="s">
        <v>410</v>
      </c>
      <c r="G41" s="20" t="s">
        <v>360</v>
      </c>
      <c r="H41" s="20" t="s">
        <v>444</v>
      </c>
      <c r="I41" s="20" t="s">
        <v>445</v>
      </c>
      <c r="J41" s="20" t="s">
        <v>446</v>
      </c>
      <c r="K41" s="20" t="s">
        <v>447</v>
      </c>
      <c r="L41" s="23" t="s">
        <v>37</v>
      </c>
      <c r="M41" s="20" t="s">
        <v>448</v>
      </c>
      <c r="N41" s="20" t="s">
        <v>365</v>
      </c>
      <c r="O41" s="20" t="s">
        <v>449</v>
      </c>
      <c r="P41" s="20" t="s">
        <v>450</v>
      </c>
    </row>
  </sheetData>
  <conditionalFormatting sqref="L2:L41">
    <cfRule type="expression" dxfId="0" priority="1">
      <formula>$L2="REQUIRED BEFORE RUN"</formula>
    </cfRule>
    <cfRule type="expression" dxfId="1" priority="2">
      <formula>$L2="LOCK FROM CURRENT IMPLEMENTATION"</formula>
    </cfRule>
  </conditionalFormatting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workbookViewId="0">
      <selection activeCell="A1" sqref="A1"/>
    </sheetView>
  </sheetViews>
  <sheetFormatPr defaultColWidth="9" defaultRowHeight="14.25" outlineLevelCol="3"/>
  <cols>
    <col min="1" max="1" width="38" customWidth="1"/>
    <col min="2" max="2" width="26" customWidth="1"/>
    <col min="3" max="3" width="70" customWidth="1"/>
    <col min="4" max="4" width="12" customWidth="1"/>
  </cols>
  <sheetData>
    <row r="1" ht="15" spans="1:4">
      <c r="A1" s="1" t="s">
        <v>451</v>
      </c>
      <c r="B1" s="1" t="s">
        <v>452</v>
      </c>
      <c r="C1" s="1" t="s">
        <v>453</v>
      </c>
      <c r="D1" s="1" t="s">
        <v>454</v>
      </c>
    </row>
    <row r="2" ht="40" customHeight="1" spans="1:4">
      <c r="A2" s="13" t="s">
        <v>455</v>
      </c>
      <c r="B2" s="13" t="s">
        <v>456</v>
      </c>
      <c r="C2" s="13" t="s">
        <v>457</v>
      </c>
      <c r="D2" s="16" t="s">
        <v>458</v>
      </c>
    </row>
    <row r="3" ht="40" customHeight="1" spans="1:4">
      <c r="A3" s="13" t="s">
        <v>459</v>
      </c>
      <c r="B3" s="13" t="s">
        <v>456</v>
      </c>
      <c r="C3" s="13" t="s">
        <v>460</v>
      </c>
      <c r="D3" s="16" t="s">
        <v>458</v>
      </c>
    </row>
    <row r="4" ht="40" customHeight="1" spans="1:4">
      <c r="A4" s="13" t="s">
        <v>461</v>
      </c>
      <c r="B4" s="13" t="s">
        <v>25</v>
      </c>
      <c r="C4" s="13" t="s">
        <v>462</v>
      </c>
      <c r="D4" s="16" t="s">
        <v>458</v>
      </c>
    </row>
    <row r="5" ht="40" customHeight="1" spans="1:4">
      <c r="A5" s="13" t="s">
        <v>463</v>
      </c>
      <c r="B5" s="13" t="s">
        <v>25</v>
      </c>
      <c r="C5" s="13" t="s">
        <v>464</v>
      </c>
      <c r="D5" s="16" t="s">
        <v>458</v>
      </c>
    </row>
    <row r="6" ht="40" customHeight="1" spans="1:4">
      <c r="A6" s="13" t="s">
        <v>465</v>
      </c>
      <c r="B6" s="13" t="s">
        <v>25</v>
      </c>
      <c r="C6" s="13" t="s">
        <v>466</v>
      </c>
      <c r="D6" s="16" t="s">
        <v>458</v>
      </c>
    </row>
    <row r="7" ht="40" customHeight="1" spans="1:4">
      <c r="A7" s="13" t="s">
        <v>467</v>
      </c>
      <c r="B7" s="13" t="s">
        <v>25</v>
      </c>
      <c r="C7" s="13" t="s">
        <v>468</v>
      </c>
      <c r="D7" s="16" t="s">
        <v>458</v>
      </c>
    </row>
    <row r="8" ht="40" customHeight="1" spans="1:4">
      <c r="A8" s="13" t="s">
        <v>469</v>
      </c>
      <c r="B8" s="13" t="s">
        <v>82</v>
      </c>
      <c r="C8" s="13" t="s">
        <v>470</v>
      </c>
      <c r="D8" s="16" t="s">
        <v>458</v>
      </c>
    </row>
    <row r="9" ht="40" customHeight="1" spans="1:4">
      <c r="A9" s="13" t="s">
        <v>471</v>
      </c>
      <c r="B9" s="13" t="s">
        <v>82</v>
      </c>
      <c r="C9" s="13" t="s">
        <v>472</v>
      </c>
      <c r="D9" s="16" t="s">
        <v>458</v>
      </c>
    </row>
    <row r="10" ht="40" customHeight="1" spans="1:4">
      <c r="A10" s="13" t="s">
        <v>473</v>
      </c>
      <c r="B10" s="13" t="s">
        <v>474</v>
      </c>
      <c r="C10" s="13" t="s">
        <v>475</v>
      </c>
      <c r="D10" s="16" t="s">
        <v>458</v>
      </c>
    </row>
  </sheetData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workbookViewId="0">
      <selection activeCell="A1" sqref="A1"/>
    </sheetView>
  </sheetViews>
  <sheetFormatPr defaultColWidth="9" defaultRowHeight="14.25" outlineLevelCol="3"/>
  <cols>
    <col min="1" max="1" width="18" customWidth="1"/>
    <col min="2" max="2" width="28" customWidth="1"/>
    <col min="3" max="3" width="70" customWidth="1"/>
    <col min="4" max="4" width="48" customWidth="1"/>
  </cols>
  <sheetData>
    <row r="1" ht="15" spans="1:4">
      <c r="A1" s="1" t="s">
        <v>476</v>
      </c>
      <c r="B1" s="1" t="s">
        <v>477</v>
      </c>
      <c r="C1" s="1" t="s">
        <v>478</v>
      </c>
      <c r="D1" s="1" t="s">
        <v>479</v>
      </c>
    </row>
    <row r="2" ht="34" customHeight="1" spans="1:4">
      <c r="A2" s="13" t="s">
        <v>480</v>
      </c>
      <c r="B2" s="13" t="s">
        <v>481</v>
      </c>
      <c r="C2" s="13" t="s">
        <v>482</v>
      </c>
      <c r="D2" s="13" t="s">
        <v>483</v>
      </c>
    </row>
    <row r="3" ht="34" customHeight="1" spans="1:4">
      <c r="A3" s="13" t="s">
        <v>484</v>
      </c>
      <c r="B3" s="13" t="s">
        <v>25</v>
      </c>
      <c r="C3" s="13" t="s">
        <v>38</v>
      </c>
      <c r="D3" s="13" t="s">
        <v>485</v>
      </c>
    </row>
    <row r="4" ht="34" customHeight="1" spans="1:4">
      <c r="A4" s="13" t="s">
        <v>484</v>
      </c>
      <c r="B4" s="13" t="s">
        <v>82</v>
      </c>
      <c r="C4" s="13" t="s">
        <v>88</v>
      </c>
      <c r="D4" s="13" t="s">
        <v>486</v>
      </c>
    </row>
    <row r="5" ht="34" customHeight="1" spans="1:4">
      <c r="A5" s="13" t="s">
        <v>484</v>
      </c>
      <c r="B5" s="13" t="s">
        <v>167</v>
      </c>
      <c r="C5" s="13" t="s">
        <v>173</v>
      </c>
      <c r="D5" s="13" t="s">
        <v>487</v>
      </c>
    </row>
    <row r="6" ht="34" customHeight="1" spans="1:4">
      <c r="A6" s="13" t="s">
        <v>484</v>
      </c>
      <c r="B6" s="13" t="s">
        <v>177</v>
      </c>
      <c r="C6" s="13" t="s">
        <v>180</v>
      </c>
      <c r="D6" s="13" t="s">
        <v>488</v>
      </c>
    </row>
    <row r="7" ht="34" customHeight="1" spans="1:4">
      <c r="A7" s="13" t="s">
        <v>484</v>
      </c>
      <c r="B7" s="13" t="s">
        <v>247</v>
      </c>
      <c r="C7" s="13" t="s">
        <v>250</v>
      </c>
      <c r="D7" s="13" t="s">
        <v>489</v>
      </c>
    </row>
    <row r="8" ht="34" customHeight="1" spans="1:4">
      <c r="A8" s="13" t="s">
        <v>484</v>
      </c>
      <c r="B8" s="13" t="s">
        <v>253</v>
      </c>
      <c r="C8" s="13" t="s">
        <v>260</v>
      </c>
      <c r="D8" s="13" t="s">
        <v>490</v>
      </c>
    </row>
    <row r="9" ht="34" customHeight="1" spans="1:4">
      <c r="A9" s="13" t="s">
        <v>484</v>
      </c>
      <c r="B9" s="13" t="s">
        <v>264</v>
      </c>
      <c r="C9" s="13" t="s">
        <v>271</v>
      </c>
      <c r="D9" s="13" t="s">
        <v>263</v>
      </c>
    </row>
    <row r="10" ht="34" customHeight="1" spans="1:4">
      <c r="A10" s="13" t="s">
        <v>491</v>
      </c>
      <c r="B10" s="13" t="s">
        <v>492</v>
      </c>
      <c r="C10" s="13" t="s">
        <v>493</v>
      </c>
      <c r="D10" s="13" t="s">
        <v>494</v>
      </c>
    </row>
    <row r="11" ht="34" customHeight="1" spans="1:4">
      <c r="A11" s="13" t="s">
        <v>495</v>
      </c>
      <c r="B11" s="13" t="s">
        <v>496</v>
      </c>
      <c r="C11" s="13" t="s">
        <v>497</v>
      </c>
      <c r="D11" s="13" t="s">
        <v>498</v>
      </c>
    </row>
    <row r="12" ht="30" spans="1:4">
      <c r="A12" s="15" t="s">
        <v>499</v>
      </c>
      <c r="B12" s="15" t="s">
        <v>500</v>
      </c>
      <c r="C12" s="15" t="s">
        <v>501</v>
      </c>
      <c r="D12" s="15" t="s">
        <v>502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selection activeCell="A1" sqref="A1:B1"/>
    </sheetView>
  </sheetViews>
  <sheetFormatPr defaultColWidth="9" defaultRowHeight="14.25" outlineLevelCol="1"/>
  <cols>
    <col min="1" max="1" width="24" customWidth="1"/>
    <col min="2" max="2" width="105" customWidth="1"/>
  </cols>
  <sheetData>
    <row r="1" ht="34" customHeight="1" spans="1:2">
      <c r="A1" s="6" t="s">
        <v>503</v>
      </c>
      <c r="B1" s="7"/>
    </row>
    <row r="2" ht="34" customHeight="1" spans="1:2">
      <c r="A2" s="8" t="s">
        <v>504</v>
      </c>
      <c r="B2" s="9" t="s">
        <v>505</v>
      </c>
    </row>
    <row r="3" ht="34" customHeight="1" spans="1:2">
      <c r="A3" s="8" t="s">
        <v>506</v>
      </c>
      <c r="B3" s="9" t="s">
        <v>507</v>
      </c>
    </row>
    <row r="4" ht="34" customHeight="1" spans="1:2">
      <c r="A4" s="8" t="s">
        <v>22</v>
      </c>
      <c r="B4" s="9" t="s">
        <v>508</v>
      </c>
    </row>
    <row r="5" ht="34" customHeight="1" spans="1:2">
      <c r="A5" s="8" t="s">
        <v>96</v>
      </c>
      <c r="B5" s="9" t="s">
        <v>509</v>
      </c>
    </row>
    <row r="6" ht="34" customHeight="1" spans="1:2">
      <c r="A6" s="8" t="s">
        <v>147</v>
      </c>
      <c r="B6" s="9" t="s">
        <v>510</v>
      </c>
    </row>
    <row r="7" ht="34" customHeight="1" spans="1:2">
      <c r="A7" s="8" t="s">
        <v>511</v>
      </c>
      <c r="B7" s="9" t="s">
        <v>512</v>
      </c>
    </row>
    <row r="8" ht="34" customHeight="1" spans="1:2">
      <c r="A8" s="8" t="s">
        <v>513</v>
      </c>
      <c r="B8" s="10" t="s">
        <v>514</v>
      </c>
    </row>
    <row r="9" ht="34" customHeight="1" spans="1:2">
      <c r="A9" s="8" t="s">
        <v>515</v>
      </c>
      <c r="B9" s="9" t="s">
        <v>516</v>
      </c>
    </row>
    <row r="10" ht="34" customHeight="1" spans="1:2">
      <c r="A10" s="8" t="s">
        <v>517</v>
      </c>
      <c r="B10" s="11" t="s">
        <v>518</v>
      </c>
    </row>
    <row r="11" ht="34" customHeight="1" spans="1:2">
      <c r="A11" s="12" t="s">
        <v>519</v>
      </c>
      <c r="B11" s="13" t="s">
        <v>520</v>
      </c>
    </row>
    <row r="12" ht="34" customHeight="1" spans="1:2">
      <c r="A12" s="12" t="s">
        <v>521</v>
      </c>
      <c r="B12" s="13" t="s">
        <v>522</v>
      </c>
    </row>
    <row r="13" ht="34" customHeight="1" spans="1:2">
      <c r="A13" s="12" t="s">
        <v>523</v>
      </c>
      <c r="B13" s="13" t="s">
        <v>524</v>
      </c>
    </row>
    <row r="14" ht="34" customHeight="1" spans="1:2">
      <c r="A14" s="12" t="s">
        <v>525</v>
      </c>
      <c r="B14" s="13" t="s">
        <v>526</v>
      </c>
    </row>
    <row r="15" ht="34" customHeight="1" spans="1:2">
      <c r="A15" s="14" t="s">
        <v>527</v>
      </c>
      <c r="B15" s="14" t="s">
        <v>528</v>
      </c>
    </row>
  </sheetData>
  <mergeCells count="1">
    <mergeCell ref="A1:B1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13"/>
  <sheetViews>
    <sheetView workbookViewId="0">
      <selection activeCell="A1" sqref="A1"/>
    </sheetView>
  </sheetViews>
  <sheetFormatPr defaultColWidth="9" defaultRowHeight="14.25"/>
  <cols>
    <col min="1" max="1" width="18" customWidth="1"/>
    <col min="2" max="2" width="10" customWidth="1"/>
    <col min="3" max="3" width="28" customWidth="1"/>
    <col min="4" max="4" width="16" customWidth="1"/>
    <col min="5" max="5" width="15" customWidth="1"/>
    <col min="6" max="6" width="9" customWidth="1"/>
    <col min="7" max="7" width="18" customWidth="1"/>
    <col min="8" max="8" width="10" customWidth="1"/>
    <col min="9" max="10" width="15" customWidth="1"/>
    <col min="11" max="14" width="12" customWidth="1"/>
    <col min="15" max="15" width="28" customWidth="1"/>
    <col min="16" max="16" width="30" customWidth="1"/>
    <col min="17" max="17" width="10" customWidth="1"/>
    <col min="18" max="18" width="55" customWidth="1"/>
    <col min="19" max="19" width="60" customWidth="1"/>
  </cols>
  <sheetData>
    <row r="1" ht="30" customHeight="1" spans="1:19">
      <c r="A1" s="1" t="s">
        <v>529</v>
      </c>
      <c r="B1" s="1" t="s">
        <v>530</v>
      </c>
      <c r="C1" s="1" t="s">
        <v>5</v>
      </c>
      <c r="D1" s="1" t="s">
        <v>7</v>
      </c>
      <c r="E1" s="1" t="s">
        <v>308</v>
      </c>
      <c r="F1" s="1" t="s">
        <v>274</v>
      </c>
      <c r="G1" s="1" t="s">
        <v>317</v>
      </c>
      <c r="H1" s="1" t="s">
        <v>376</v>
      </c>
      <c r="I1" s="1" t="s">
        <v>531</v>
      </c>
      <c r="J1" s="1" t="s">
        <v>532</v>
      </c>
      <c r="K1" s="1" t="s">
        <v>533</v>
      </c>
      <c r="L1" s="1" t="s">
        <v>534</v>
      </c>
      <c r="M1" s="1" t="s">
        <v>535</v>
      </c>
      <c r="N1" s="1" t="s">
        <v>536</v>
      </c>
      <c r="O1" s="1" t="s">
        <v>537</v>
      </c>
      <c r="P1" s="1" t="s">
        <v>538</v>
      </c>
      <c r="Q1" s="1" t="s">
        <v>315</v>
      </c>
      <c r="R1" s="1" t="s">
        <v>319</v>
      </c>
      <c r="S1" s="1" t="s">
        <v>539</v>
      </c>
    </row>
    <row r="2" ht="30" customHeight="1" spans="1:19">
      <c r="A2" s="3" t="s">
        <v>540</v>
      </c>
      <c r="B2" s="3">
        <v>1</v>
      </c>
      <c r="C2" s="3" t="s">
        <v>24</v>
      </c>
      <c r="D2" s="3" t="s">
        <v>26</v>
      </c>
      <c r="E2" s="3" t="s">
        <v>27</v>
      </c>
      <c r="F2" s="3" t="s">
        <v>22</v>
      </c>
      <c r="G2" s="3" t="s">
        <v>327</v>
      </c>
      <c r="H2" s="3" t="s">
        <v>541</v>
      </c>
      <c r="I2" s="3">
        <v>1</v>
      </c>
      <c r="J2" s="3"/>
      <c r="K2" s="3">
        <v>135</v>
      </c>
      <c r="L2" s="3" t="b">
        <v>1</v>
      </c>
      <c r="M2" s="3">
        <v>145</v>
      </c>
      <c r="N2" s="3" t="b">
        <v>1</v>
      </c>
      <c r="O2" s="3" t="s">
        <v>542</v>
      </c>
      <c r="P2" s="3" t="s">
        <v>324</v>
      </c>
      <c r="Q2" s="3" t="s">
        <v>325</v>
      </c>
      <c r="R2" s="3" t="s">
        <v>329</v>
      </c>
      <c r="S2" s="3" t="s">
        <v>543</v>
      </c>
    </row>
    <row r="3" ht="30" customHeight="1" spans="1:19">
      <c r="A3" s="3" t="s">
        <v>544</v>
      </c>
      <c r="B3" s="3">
        <v>2</v>
      </c>
      <c r="C3" s="3" t="s">
        <v>41</v>
      </c>
      <c r="D3" s="3" t="s">
        <v>42</v>
      </c>
      <c r="E3" s="3" t="s">
        <v>27</v>
      </c>
      <c r="F3" s="3" t="s">
        <v>22</v>
      </c>
      <c r="G3" s="3" t="s">
        <v>327</v>
      </c>
      <c r="H3" s="3" t="s">
        <v>541</v>
      </c>
      <c r="I3" s="3">
        <v>1</v>
      </c>
      <c r="J3" s="3">
        <v>18</v>
      </c>
      <c r="K3" s="3">
        <v>102</v>
      </c>
      <c r="L3" s="3" t="b">
        <v>1</v>
      </c>
      <c r="M3" s="3">
        <v>112</v>
      </c>
      <c r="N3" s="3" t="b">
        <v>1</v>
      </c>
      <c r="O3" s="3" t="s">
        <v>545</v>
      </c>
      <c r="P3" s="3" t="s">
        <v>546</v>
      </c>
      <c r="Q3" s="3" t="s">
        <v>325</v>
      </c>
      <c r="R3" s="3" t="s">
        <v>329</v>
      </c>
      <c r="S3" s="3" t="s">
        <v>101</v>
      </c>
    </row>
    <row r="4" ht="30" customHeight="1" spans="1:19">
      <c r="A4" s="3" t="s">
        <v>547</v>
      </c>
      <c r="B4" s="3">
        <v>2</v>
      </c>
      <c r="C4" s="3" t="s">
        <v>41</v>
      </c>
      <c r="D4" s="3" t="s">
        <v>42</v>
      </c>
      <c r="E4" s="3" t="s">
        <v>27</v>
      </c>
      <c r="F4" s="3" t="s">
        <v>22</v>
      </c>
      <c r="G4" s="3" t="s">
        <v>327</v>
      </c>
      <c r="H4" s="3" t="s">
        <v>541</v>
      </c>
      <c r="I4" s="3">
        <v>18</v>
      </c>
      <c r="J4" s="3"/>
      <c r="K4" s="3">
        <v>98</v>
      </c>
      <c r="L4" s="3" t="b">
        <v>1</v>
      </c>
      <c r="M4" s="3">
        <v>107</v>
      </c>
      <c r="N4" s="3" t="b">
        <v>1</v>
      </c>
      <c r="O4" s="3" t="s">
        <v>548</v>
      </c>
      <c r="P4" s="3" t="s">
        <v>549</v>
      </c>
      <c r="Q4" s="3" t="s">
        <v>325</v>
      </c>
      <c r="R4" s="3" t="s">
        <v>329</v>
      </c>
      <c r="S4" s="3" t="s">
        <v>101</v>
      </c>
    </row>
    <row r="5" ht="30" customHeight="1" spans="1:19">
      <c r="A5" s="3" t="s">
        <v>550</v>
      </c>
      <c r="B5" s="3">
        <v>3</v>
      </c>
      <c r="C5" s="3" t="s">
        <v>46</v>
      </c>
      <c r="D5" s="3" t="s">
        <v>47</v>
      </c>
      <c r="E5" s="3" t="s">
        <v>48</v>
      </c>
      <c r="F5" s="3" t="s">
        <v>22</v>
      </c>
      <c r="G5" s="3" t="s">
        <v>327</v>
      </c>
      <c r="H5" s="3" t="s">
        <v>541</v>
      </c>
      <c r="I5" s="3">
        <v>1</v>
      </c>
      <c r="J5" s="3">
        <v>3</v>
      </c>
      <c r="K5" s="3">
        <v>1.6</v>
      </c>
      <c r="L5" s="3" t="b">
        <v>1</v>
      </c>
      <c r="M5" s="3">
        <v>2.7</v>
      </c>
      <c r="N5" s="3" t="b">
        <v>1</v>
      </c>
      <c r="O5" s="3" t="s">
        <v>551</v>
      </c>
      <c r="P5" s="3" t="s">
        <v>552</v>
      </c>
      <c r="Q5" s="3" t="s">
        <v>334</v>
      </c>
      <c r="R5" s="3" t="s">
        <v>336</v>
      </c>
      <c r="S5" s="3" t="s">
        <v>101</v>
      </c>
    </row>
    <row r="6" ht="30" customHeight="1" spans="1:19">
      <c r="A6" s="3" t="s">
        <v>553</v>
      </c>
      <c r="B6" s="3">
        <v>3</v>
      </c>
      <c r="C6" s="3" t="s">
        <v>46</v>
      </c>
      <c r="D6" s="3" t="s">
        <v>47</v>
      </c>
      <c r="E6" s="3" t="s">
        <v>48</v>
      </c>
      <c r="F6" s="3" t="s">
        <v>22</v>
      </c>
      <c r="G6" s="3" t="s">
        <v>327</v>
      </c>
      <c r="H6" s="3" t="s">
        <v>541</v>
      </c>
      <c r="I6" s="3">
        <v>3</v>
      </c>
      <c r="J6" s="3">
        <v>6</v>
      </c>
      <c r="K6" s="3">
        <v>1.6</v>
      </c>
      <c r="L6" s="3" t="b">
        <v>1</v>
      </c>
      <c r="M6" s="3">
        <v>2.6</v>
      </c>
      <c r="N6" s="3" t="b">
        <v>1</v>
      </c>
      <c r="O6" s="3" t="s">
        <v>554</v>
      </c>
      <c r="P6" s="3" t="s">
        <v>555</v>
      </c>
      <c r="Q6" s="3" t="s">
        <v>334</v>
      </c>
      <c r="R6" s="3" t="s">
        <v>336</v>
      </c>
      <c r="S6" s="3" t="s">
        <v>101</v>
      </c>
    </row>
    <row r="7" ht="30" customHeight="1" spans="1:19">
      <c r="A7" s="3" t="s">
        <v>556</v>
      </c>
      <c r="B7" s="3">
        <v>3</v>
      </c>
      <c r="C7" s="3" t="s">
        <v>46</v>
      </c>
      <c r="D7" s="3" t="s">
        <v>47</v>
      </c>
      <c r="E7" s="3" t="s">
        <v>48</v>
      </c>
      <c r="F7" s="3" t="s">
        <v>22</v>
      </c>
      <c r="G7" s="3" t="s">
        <v>327</v>
      </c>
      <c r="H7" s="3" t="s">
        <v>541</v>
      </c>
      <c r="I7" s="3">
        <v>6</v>
      </c>
      <c r="J7" s="3">
        <v>9</v>
      </c>
      <c r="K7" s="3">
        <v>1.6</v>
      </c>
      <c r="L7" s="3" t="b">
        <v>1</v>
      </c>
      <c r="M7" s="3">
        <v>2.5</v>
      </c>
      <c r="N7" s="3" t="b">
        <v>1</v>
      </c>
      <c r="O7" s="3" t="s">
        <v>557</v>
      </c>
      <c r="P7" s="3" t="s">
        <v>558</v>
      </c>
      <c r="Q7" s="3" t="s">
        <v>334</v>
      </c>
      <c r="R7" s="3" t="s">
        <v>336</v>
      </c>
      <c r="S7" s="3" t="s">
        <v>101</v>
      </c>
    </row>
    <row r="8" ht="30" customHeight="1" spans="1:19">
      <c r="A8" s="3" t="s">
        <v>559</v>
      </c>
      <c r="B8" s="3">
        <v>3</v>
      </c>
      <c r="C8" s="3" t="s">
        <v>46</v>
      </c>
      <c r="D8" s="3" t="s">
        <v>47</v>
      </c>
      <c r="E8" s="3" t="s">
        <v>48</v>
      </c>
      <c r="F8" s="3" t="s">
        <v>22</v>
      </c>
      <c r="G8" s="3" t="s">
        <v>327</v>
      </c>
      <c r="H8" s="3" t="s">
        <v>541</v>
      </c>
      <c r="I8" s="3">
        <v>9</v>
      </c>
      <c r="J8" s="3">
        <v>12</v>
      </c>
      <c r="K8" s="3">
        <v>1.6</v>
      </c>
      <c r="L8" s="3" t="b">
        <v>1</v>
      </c>
      <c r="M8" s="3">
        <v>2.4</v>
      </c>
      <c r="N8" s="3" t="b">
        <v>1</v>
      </c>
      <c r="O8" s="3" t="s">
        <v>560</v>
      </c>
      <c r="P8" s="3" t="s">
        <v>561</v>
      </c>
      <c r="Q8" s="3" t="s">
        <v>334</v>
      </c>
      <c r="R8" s="3" t="s">
        <v>336</v>
      </c>
      <c r="S8" s="3" t="s">
        <v>101</v>
      </c>
    </row>
    <row r="9" ht="30" customHeight="1" spans="1:19">
      <c r="A9" s="3" t="s">
        <v>562</v>
      </c>
      <c r="B9" s="3">
        <v>3</v>
      </c>
      <c r="C9" s="3" t="s">
        <v>46</v>
      </c>
      <c r="D9" s="3" t="s">
        <v>47</v>
      </c>
      <c r="E9" s="3" t="s">
        <v>48</v>
      </c>
      <c r="F9" s="3" t="s">
        <v>22</v>
      </c>
      <c r="G9" s="3" t="s">
        <v>327</v>
      </c>
      <c r="H9" s="3" t="s">
        <v>541</v>
      </c>
      <c r="I9" s="3">
        <v>12</v>
      </c>
      <c r="J9" s="3">
        <v>18</v>
      </c>
      <c r="K9" s="3">
        <v>1.6</v>
      </c>
      <c r="L9" s="3" t="b">
        <v>1</v>
      </c>
      <c r="M9" s="3">
        <v>2.3</v>
      </c>
      <c r="N9" s="3" t="b">
        <v>1</v>
      </c>
      <c r="O9" s="3" t="s">
        <v>563</v>
      </c>
      <c r="P9" s="3" t="s">
        <v>564</v>
      </c>
      <c r="Q9" s="3" t="s">
        <v>334</v>
      </c>
      <c r="R9" s="3" t="s">
        <v>336</v>
      </c>
      <c r="S9" s="3" t="s">
        <v>101</v>
      </c>
    </row>
    <row r="10" ht="30" customHeight="1" spans="1:19">
      <c r="A10" s="3" t="s">
        <v>565</v>
      </c>
      <c r="B10" s="3">
        <v>3</v>
      </c>
      <c r="C10" s="3" t="s">
        <v>46</v>
      </c>
      <c r="D10" s="3" t="s">
        <v>47</v>
      </c>
      <c r="E10" s="3" t="s">
        <v>48</v>
      </c>
      <c r="F10" s="3" t="s">
        <v>22</v>
      </c>
      <c r="G10" s="3" t="s">
        <v>327</v>
      </c>
      <c r="H10" s="3" t="s">
        <v>541</v>
      </c>
      <c r="I10" s="3">
        <v>18</v>
      </c>
      <c r="J10" s="3"/>
      <c r="K10" s="3">
        <v>1.7</v>
      </c>
      <c r="L10" s="3" t="b">
        <v>1</v>
      </c>
      <c r="M10" s="3">
        <v>2.3</v>
      </c>
      <c r="N10" s="3" t="b">
        <v>1</v>
      </c>
      <c r="O10" s="3" t="s">
        <v>566</v>
      </c>
      <c r="P10" s="3" t="s">
        <v>567</v>
      </c>
      <c r="Q10" s="3" t="s">
        <v>334</v>
      </c>
      <c r="R10" s="3" t="s">
        <v>336</v>
      </c>
      <c r="S10" s="3" t="s">
        <v>101</v>
      </c>
    </row>
    <row r="11" ht="30" customHeight="1" spans="1:19">
      <c r="A11" s="3" t="s">
        <v>568</v>
      </c>
      <c r="B11" s="3">
        <v>4</v>
      </c>
      <c r="C11" s="3" t="s">
        <v>51</v>
      </c>
      <c r="D11" s="3" t="s">
        <v>52</v>
      </c>
      <c r="E11" s="3" t="s">
        <v>48</v>
      </c>
      <c r="F11" s="3" t="s">
        <v>22</v>
      </c>
      <c r="G11" s="3" t="s">
        <v>327</v>
      </c>
      <c r="H11" s="3" t="s">
        <v>569</v>
      </c>
      <c r="I11" s="3">
        <v>1</v>
      </c>
      <c r="J11" s="3">
        <v>5</v>
      </c>
      <c r="K11" s="3">
        <v>4.3</v>
      </c>
      <c r="L11" s="3" t="b">
        <v>1</v>
      </c>
      <c r="M11" s="3">
        <v>5.4</v>
      </c>
      <c r="N11" s="3" t="b">
        <v>1</v>
      </c>
      <c r="O11" s="3" t="s">
        <v>570</v>
      </c>
      <c r="P11" s="3" t="s">
        <v>571</v>
      </c>
      <c r="Q11" s="3" t="s">
        <v>338</v>
      </c>
      <c r="R11" s="3" t="s">
        <v>340</v>
      </c>
      <c r="S11" s="3" t="s">
        <v>101</v>
      </c>
    </row>
    <row r="12" ht="30" customHeight="1" spans="1:19">
      <c r="A12" s="3" t="s">
        <v>572</v>
      </c>
      <c r="B12" s="3">
        <v>4</v>
      </c>
      <c r="C12" s="3" t="s">
        <v>51</v>
      </c>
      <c r="D12" s="3" t="s">
        <v>52</v>
      </c>
      <c r="E12" s="3" t="s">
        <v>48</v>
      </c>
      <c r="F12" s="3" t="s">
        <v>22</v>
      </c>
      <c r="G12" s="3" t="s">
        <v>327</v>
      </c>
      <c r="H12" s="3" t="s">
        <v>569</v>
      </c>
      <c r="I12" s="3">
        <v>5</v>
      </c>
      <c r="J12" s="3">
        <v>14</v>
      </c>
      <c r="K12" s="3">
        <v>3.7</v>
      </c>
      <c r="L12" s="3" t="b">
        <v>1</v>
      </c>
      <c r="M12" s="3">
        <v>5.4</v>
      </c>
      <c r="N12" s="3" t="b">
        <v>1</v>
      </c>
      <c r="O12" s="3" t="s">
        <v>573</v>
      </c>
      <c r="P12" s="3" t="s">
        <v>574</v>
      </c>
      <c r="Q12" s="3" t="s">
        <v>338</v>
      </c>
      <c r="R12" s="3" t="s">
        <v>340</v>
      </c>
      <c r="S12" s="3" t="s">
        <v>101</v>
      </c>
    </row>
    <row r="13" ht="30" customHeight="1" spans="1:19">
      <c r="A13" s="3" t="s">
        <v>575</v>
      </c>
      <c r="B13" s="3">
        <v>4</v>
      </c>
      <c r="C13" s="3" t="s">
        <v>51</v>
      </c>
      <c r="D13" s="3" t="s">
        <v>52</v>
      </c>
      <c r="E13" s="3" t="s">
        <v>48</v>
      </c>
      <c r="F13" s="3" t="s">
        <v>22</v>
      </c>
      <c r="G13" s="3" t="s">
        <v>327</v>
      </c>
      <c r="H13" s="3" t="s">
        <v>569</v>
      </c>
      <c r="I13" s="3">
        <v>14</v>
      </c>
      <c r="J13" s="3">
        <v>16</v>
      </c>
      <c r="K13" s="3">
        <v>3.5</v>
      </c>
      <c r="L13" s="3" t="b">
        <v>1</v>
      </c>
      <c r="M13" s="3">
        <v>5.3</v>
      </c>
      <c r="N13" s="3" t="b">
        <v>1</v>
      </c>
      <c r="O13" s="3" t="s">
        <v>576</v>
      </c>
      <c r="P13" s="3" t="s">
        <v>577</v>
      </c>
      <c r="Q13" s="3" t="s">
        <v>338</v>
      </c>
      <c r="R13" s="3" t="s">
        <v>340</v>
      </c>
      <c r="S13" s="3" t="s">
        <v>101</v>
      </c>
    </row>
    <row r="14" ht="30" customHeight="1" spans="1:19">
      <c r="A14" s="3" t="s">
        <v>578</v>
      </c>
      <c r="B14" s="3">
        <v>4</v>
      </c>
      <c r="C14" s="3" t="s">
        <v>51</v>
      </c>
      <c r="D14" s="3" t="s">
        <v>52</v>
      </c>
      <c r="E14" s="3" t="s">
        <v>48</v>
      </c>
      <c r="F14" s="3" t="s">
        <v>22</v>
      </c>
      <c r="G14" s="3" t="s">
        <v>327</v>
      </c>
      <c r="H14" s="3" t="s">
        <v>569</v>
      </c>
      <c r="I14" s="3">
        <v>16</v>
      </c>
      <c r="J14" s="3">
        <v>18</v>
      </c>
      <c r="K14" s="3">
        <v>3.1</v>
      </c>
      <c r="L14" s="3" t="b">
        <v>1</v>
      </c>
      <c r="M14" s="3">
        <v>4.7</v>
      </c>
      <c r="N14" s="3" t="b">
        <v>1</v>
      </c>
      <c r="O14" s="3" t="s">
        <v>579</v>
      </c>
      <c r="P14" s="3" t="s">
        <v>580</v>
      </c>
      <c r="Q14" s="3" t="s">
        <v>338</v>
      </c>
      <c r="R14" s="3" t="s">
        <v>340</v>
      </c>
      <c r="S14" s="3" t="s">
        <v>101</v>
      </c>
    </row>
    <row r="15" ht="30" customHeight="1" spans="1:19">
      <c r="A15" s="3" t="s">
        <v>581</v>
      </c>
      <c r="B15" s="3">
        <v>4</v>
      </c>
      <c r="C15" s="3" t="s">
        <v>51</v>
      </c>
      <c r="D15" s="3" t="s">
        <v>52</v>
      </c>
      <c r="E15" s="3" t="s">
        <v>48</v>
      </c>
      <c r="F15" s="3" t="s">
        <v>22</v>
      </c>
      <c r="G15" s="3" t="s">
        <v>327</v>
      </c>
      <c r="H15" s="3" t="s">
        <v>569</v>
      </c>
      <c r="I15" s="3">
        <v>18</v>
      </c>
      <c r="J15" s="3"/>
      <c r="K15" s="3">
        <v>2.5</v>
      </c>
      <c r="L15" s="3" t="b">
        <v>1</v>
      </c>
      <c r="M15" s="3">
        <v>4.5</v>
      </c>
      <c r="N15" s="3" t="b">
        <v>1</v>
      </c>
      <c r="O15" s="3" t="s">
        <v>582</v>
      </c>
      <c r="P15" s="3" t="s">
        <v>583</v>
      </c>
      <c r="Q15" s="3" t="s">
        <v>338</v>
      </c>
      <c r="R15" s="3" t="s">
        <v>340</v>
      </c>
      <c r="S15" s="3" t="s">
        <v>101</v>
      </c>
    </row>
    <row r="16" ht="30" customHeight="1" spans="1:19">
      <c r="A16" s="3" t="s">
        <v>584</v>
      </c>
      <c r="B16" s="3">
        <v>4</v>
      </c>
      <c r="C16" s="3" t="s">
        <v>51</v>
      </c>
      <c r="D16" s="3" t="s">
        <v>52</v>
      </c>
      <c r="E16" s="3" t="s">
        <v>48</v>
      </c>
      <c r="F16" s="3" t="s">
        <v>22</v>
      </c>
      <c r="G16" s="3" t="s">
        <v>327</v>
      </c>
      <c r="H16" s="3" t="s">
        <v>585</v>
      </c>
      <c r="I16" s="3">
        <v>1</v>
      </c>
      <c r="J16" s="3">
        <v>8</v>
      </c>
      <c r="K16" s="3">
        <v>4.3</v>
      </c>
      <c r="L16" s="3" t="b">
        <v>1</v>
      </c>
      <c r="M16" s="3">
        <v>5.4</v>
      </c>
      <c r="N16" s="3" t="b">
        <v>1</v>
      </c>
      <c r="O16" s="3" t="s">
        <v>570</v>
      </c>
      <c r="P16" s="3" t="s">
        <v>571</v>
      </c>
      <c r="Q16" s="3" t="s">
        <v>338</v>
      </c>
      <c r="R16" s="3" t="s">
        <v>340</v>
      </c>
      <c r="S16" s="3" t="s">
        <v>101</v>
      </c>
    </row>
    <row r="17" ht="30" customHeight="1" spans="1:19">
      <c r="A17" s="3" t="s">
        <v>586</v>
      </c>
      <c r="B17" s="3">
        <v>4</v>
      </c>
      <c r="C17" s="3" t="s">
        <v>51</v>
      </c>
      <c r="D17" s="3" t="s">
        <v>52</v>
      </c>
      <c r="E17" s="3" t="s">
        <v>48</v>
      </c>
      <c r="F17" s="3" t="s">
        <v>22</v>
      </c>
      <c r="G17" s="3" t="s">
        <v>327</v>
      </c>
      <c r="H17" s="3" t="s">
        <v>585</v>
      </c>
      <c r="I17" s="3">
        <v>8</v>
      </c>
      <c r="J17" s="3">
        <v>14</v>
      </c>
      <c r="K17" s="3">
        <v>4</v>
      </c>
      <c r="L17" s="3" t="b">
        <v>1</v>
      </c>
      <c r="M17" s="3">
        <v>5.2</v>
      </c>
      <c r="N17" s="3" t="b">
        <v>1</v>
      </c>
      <c r="O17" s="3" t="s">
        <v>587</v>
      </c>
      <c r="P17" s="3" t="s">
        <v>588</v>
      </c>
      <c r="Q17" s="3" t="s">
        <v>338</v>
      </c>
      <c r="R17" s="3" t="s">
        <v>340</v>
      </c>
      <c r="S17" s="3" t="s">
        <v>101</v>
      </c>
    </row>
    <row r="18" ht="30" customHeight="1" spans="1:19">
      <c r="A18" s="3" t="s">
        <v>589</v>
      </c>
      <c r="B18" s="3">
        <v>4</v>
      </c>
      <c r="C18" s="3" t="s">
        <v>51</v>
      </c>
      <c r="D18" s="3" t="s">
        <v>52</v>
      </c>
      <c r="E18" s="3" t="s">
        <v>48</v>
      </c>
      <c r="F18" s="3" t="s">
        <v>22</v>
      </c>
      <c r="G18" s="3" t="s">
        <v>327</v>
      </c>
      <c r="H18" s="3" t="s">
        <v>585</v>
      </c>
      <c r="I18" s="3">
        <v>14</v>
      </c>
      <c r="J18" s="3">
        <v>16</v>
      </c>
      <c r="K18" s="3">
        <v>3.5</v>
      </c>
      <c r="L18" s="3" t="b">
        <v>1</v>
      </c>
      <c r="M18" s="3">
        <v>4.9</v>
      </c>
      <c r="N18" s="3" t="b">
        <v>1</v>
      </c>
      <c r="O18" s="3" t="s">
        <v>590</v>
      </c>
      <c r="P18" s="3" t="s">
        <v>591</v>
      </c>
      <c r="Q18" s="3" t="s">
        <v>338</v>
      </c>
      <c r="R18" s="3" t="s">
        <v>340</v>
      </c>
      <c r="S18" s="3" t="s">
        <v>101</v>
      </c>
    </row>
    <row r="19" ht="30" customHeight="1" spans="1:19">
      <c r="A19" s="3" t="s">
        <v>592</v>
      </c>
      <c r="B19" s="3">
        <v>4</v>
      </c>
      <c r="C19" s="3" t="s">
        <v>51</v>
      </c>
      <c r="D19" s="3" t="s">
        <v>52</v>
      </c>
      <c r="E19" s="3" t="s">
        <v>48</v>
      </c>
      <c r="F19" s="3" t="s">
        <v>22</v>
      </c>
      <c r="G19" s="3" t="s">
        <v>327</v>
      </c>
      <c r="H19" s="3" t="s">
        <v>585</v>
      </c>
      <c r="I19" s="3">
        <v>16</v>
      </c>
      <c r="J19" s="3">
        <v>18</v>
      </c>
      <c r="K19" s="3">
        <v>3.1</v>
      </c>
      <c r="L19" s="3" t="b">
        <v>1</v>
      </c>
      <c r="M19" s="3">
        <v>4.7</v>
      </c>
      <c r="N19" s="3" t="b">
        <v>1</v>
      </c>
      <c r="O19" s="3" t="s">
        <v>579</v>
      </c>
      <c r="P19" s="3" t="s">
        <v>580</v>
      </c>
      <c r="Q19" s="3" t="s">
        <v>338</v>
      </c>
      <c r="R19" s="3" t="s">
        <v>340</v>
      </c>
      <c r="S19" s="3" t="s">
        <v>101</v>
      </c>
    </row>
    <row r="20" ht="30" customHeight="1" spans="1:19">
      <c r="A20" s="3" t="s">
        <v>593</v>
      </c>
      <c r="B20" s="3">
        <v>4</v>
      </c>
      <c r="C20" s="3" t="s">
        <v>51</v>
      </c>
      <c r="D20" s="3" t="s">
        <v>52</v>
      </c>
      <c r="E20" s="3" t="s">
        <v>48</v>
      </c>
      <c r="F20" s="3" t="s">
        <v>22</v>
      </c>
      <c r="G20" s="3" t="s">
        <v>327</v>
      </c>
      <c r="H20" s="3" t="s">
        <v>585</v>
      </c>
      <c r="I20" s="3">
        <v>18</v>
      </c>
      <c r="J20" s="3"/>
      <c r="K20" s="3">
        <v>2.5</v>
      </c>
      <c r="L20" s="3" t="b">
        <v>1</v>
      </c>
      <c r="M20" s="3">
        <v>4.5</v>
      </c>
      <c r="N20" s="3" t="b">
        <v>1</v>
      </c>
      <c r="O20" s="3" t="s">
        <v>582</v>
      </c>
      <c r="P20" s="3" t="s">
        <v>583</v>
      </c>
      <c r="Q20" s="3" t="s">
        <v>338</v>
      </c>
      <c r="R20" s="3" t="s">
        <v>340</v>
      </c>
      <c r="S20" s="3" t="s">
        <v>101</v>
      </c>
    </row>
    <row r="21" ht="30" customHeight="1" spans="1:19">
      <c r="A21" s="3" t="s">
        <v>594</v>
      </c>
      <c r="B21" s="3">
        <v>5</v>
      </c>
      <c r="C21" s="3" t="s">
        <v>55</v>
      </c>
      <c r="D21" s="3" t="s">
        <v>56</v>
      </c>
      <c r="E21" s="3" t="s">
        <v>48</v>
      </c>
      <c r="F21" s="3" t="s">
        <v>22</v>
      </c>
      <c r="G21" s="3" t="s">
        <v>327</v>
      </c>
      <c r="H21" s="3" t="s">
        <v>569</v>
      </c>
      <c r="I21" s="3">
        <v>1</v>
      </c>
      <c r="J21" s="3">
        <v>6</v>
      </c>
      <c r="K21" s="3">
        <v>0.19</v>
      </c>
      <c r="L21" s="3" t="b">
        <v>1</v>
      </c>
      <c r="M21" s="3">
        <v>0.49</v>
      </c>
      <c r="N21" s="3" t="b">
        <v>1</v>
      </c>
      <c r="O21" s="3" t="s">
        <v>595</v>
      </c>
      <c r="P21" s="3" t="s">
        <v>596</v>
      </c>
      <c r="Q21" s="3" t="s">
        <v>325</v>
      </c>
      <c r="R21" s="3" t="s">
        <v>329</v>
      </c>
      <c r="S21" s="3" t="s">
        <v>101</v>
      </c>
    </row>
    <row r="22" ht="30" customHeight="1" spans="1:19">
      <c r="A22" s="3" t="s">
        <v>597</v>
      </c>
      <c r="B22" s="3">
        <v>5</v>
      </c>
      <c r="C22" s="3" t="s">
        <v>55</v>
      </c>
      <c r="D22" s="3" t="s">
        <v>56</v>
      </c>
      <c r="E22" s="3" t="s">
        <v>48</v>
      </c>
      <c r="F22" s="3" t="s">
        <v>22</v>
      </c>
      <c r="G22" s="3" t="s">
        <v>327</v>
      </c>
      <c r="H22" s="3" t="s">
        <v>569</v>
      </c>
      <c r="I22" s="3">
        <v>6</v>
      </c>
      <c r="J22" s="3">
        <v>11</v>
      </c>
      <c r="K22" s="3">
        <v>0.26</v>
      </c>
      <c r="L22" s="3" t="b">
        <v>1</v>
      </c>
      <c r="M22" s="3">
        <v>0.61</v>
      </c>
      <c r="N22" s="3" t="b">
        <v>1</v>
      </c>
      <c r="O22" s="3" t="s">
        <v>598</v>
      </c>
      <c r="P22" s="3" t="s">
        <v>599</v>
      </c>
      <c r="Q22" s="3" t="s">
        <v>325</v>
      </c>
      <c r="R22" s="3" t="s">
        <v>329</v>
      </c>
      <c r="S22" s="3" t="s">
        <v>101</v>
      </c>
    </row>
    <row r="23" ht="30" customHeight="1" spans="1:19">
      <c r="A23" s="3" t="s">
        <v>600</v>
      </c>
      <c r="B23" s="3">
        <v>5</v>
      </c>
      <c r="C23" s="3" t="s">
        <v>55</v>
      </c>
      <c r="D23" s="3" t="s">
        <v>56</v>
      </c>
      <c r="E23" s="3" t="s">
        <v>48</v>
      </c>
      <c r="F23" s="3" t="s">
        <v>22</v>
      </c>
      <c r="G23" s="3" t="s">
        <v>327</v>
      </c>
      <c r="H23" s="3" t="s">
        <v>569</v>
      </c>
      <c r="I23" s="3">
        <v>11</v>
      </c>
      <c r="J23" s="3">
        <v>15</v>
      </c>
      <c r="K23" s="3">
        <v>0.35</v>
      </c>
      <c r="L23" s="3" t="b">
        <v>1</v>
      </c>
      <c r="M23" s="3">
        <v>0.86</v>
      </c>
      <c r="N23" s="3" t="b">
        <v>1</v>
      </c>
      <c r="O23" s="3" t="s">
        <v>601</v>
      </c>
      <c r="P23" s="3" t="s">
        <v>602</v>
      </c>
      <c r="Q23" s="3" t="s">
        <v>325</v>
      </c>
      <c r="R23" s="3" t="s">
        <v>329</v>
      </c>
      <c r="S23" s="3" t="s">
        <v>101</v>
      </c>
    </row>
    <row r="24" ht="30" customHeight="1" spans="1:19">
      <c r="A24" s="3" t="s">
        <v>603</v>
      </c>
      <c r="B24" s="3">
        <v>5</v>
      </c>
      <c r="C24" s="3" t="s">
        <v>55</v>
      </c>
      <c r="D24" s="3" t="s">
        <v>56</v>
      </c>
      <c r="E24" s="3" t="s">
        <v>48</v>
      </c>
      <c r="F24" s="3" t="s">
        <v>22</v>
      </c>
      <c r="G24" s="3" t="s">
        <v>327</v>
      </c>
      <c r="H24" s="3" t="s">
        <v>569</v>
      </c>
      <c r="I24" s="3">
        <v>15</v>
      </c>
      <c r="J24" s="3"/>
      <c r="K24" s="3">
        <v>0.74</v>
      </c>
      <c r="L24" s="3" t="b">
        <v>1</v>
      </c>
      <c r="M24" s="3">
        <v>1.35</v>
      </c>
      <c r="N24" s="3" t="b">
        <v>1</v>
      </c>
      <c r="O24" s="3" t="s">
        <v>604</v>
      </c>
      <c r="P24" s="3" t="s">
        <v>605</v>
      </c>
      <c r="Q24" s="3" t="s">
        <v>325</v>
      </c>
      <c r="R24" s="3" t="s">
        <v>329</v>
      </c>
      <c r="S24" s="3" t="s">
        <v>101</v>
      </c>
    </row>
    <row r="25" ht="30" customHeight="1" spans="1:19">
      <c r="A25" s="3" t="s">
        <v>606</v>
      </c>
      <c r="B25" s="3">
        <v>5</v>
      </c>
      <c r="C25" s="3" t="s">
        <v>55</v>
      </c>
      <c r="D25" s="3" t="s">
        <v>56</v>
      </c>
      <c r="E25" s="3" t="s">
        <v>48</v>
      </c>
      <c r="F25" s="3" t="s">
        <v>22</v>
      </c>
      <c r="G25" s="3" t="s">
        <v>327</v>
      </c>
      <c r="H25" s="3" t="s">
        <v>585</v>
      </c>
      <c r="I25" s="3">
        <v>1</v>
      </c>
      <c r="J25" s="3">
        <v>6</v>
      </c>
      <c r="K25" s="3">
        <v>0.19</v>
      </c>
      <c r="L25" s="3" t="b">
        <v>1</v>
      </c>
      <c r="M25" s="3">
        <v>0.49</v>
      </c>
      <c r="N25" s="3" t="b">
        <v>1</v>
      </c>
      <c r="O25" s="3" t="s">
        <v>595</v>
      </c>
      <c r="P25" s="3" t="s">
        <v>596</v>
      </c>
      <c r="Q25" s="3" t="s">
        <v>325</v>
      </c>
      <c r="R25" s="3" t="s">
        <v>329</v>
      </c>
      <c r="S25" s="3" t="s">
        <v>101</v>
      </c>
    </row>
    <row r="26" ht="30" customHeight="1" spans="1:19">
      <c r="A26" s="3" t="s">
        <v>607</v>
      </c>
      <c r="B26" s="3">
        <v>5</v>
      </c>
      <c r="C26" s="3" t="s">
        <v>55</v>
      </c>
      <c r="D26" s="3" t="s">
        <v>56</v>
      </c>
      <c r="E26" s="3" t="s">
        <v>48</v>
      </c>
      <c r="F26" s="3" t="s">
        <v>22</v>
      </c>
      <c r="G26" s="3" t="s">
        <v>327</v>
      </c>
      <c r="H26" s="3" t="s">
        <v>585</v>
      </c>
      <c r="I26" s="3">
        <v>6</v>
      </c>
      <c r="J26" s="3">
        <v>11</v>
      </c>
      <c r="K26" s="3">
        <v>0.26</v>
      </c>
      <c r="L26" s="3" t="b">
        <v>1</v>
      </c>
      <c r="M26" s="3">
        <v>0.61</v>
      </c>
      <c r="N26" s="3" t="b">
        <v>1</v>
      </c>
      <c r="O26" s="3" t="s">
        <v>598</v>
      </c>
      <c r="P26" s="3" t="s">
        <v>599</v>
      </c>
      <c r="Q26" s="3" t="s">
        <v>325</v>
      </c>
      <c r="R26" s="3" t="s">
        <v>329</v>
      </c>
      <c r="S26" s="3" t="s">
        <v>101</v>
      </c>
    </row>
    <row r="27" ht="30" customHeight="1" spans="1:19">
      <c r="A27" s="3" t="s">
        <v>608</v>
      </c>
      <c r="B27" s="3">
        <v>5</v>
      </c>
      <c r="C27" s="3" t="s">
        <v>55</v>
      </c>
      <c r="D27" s="3" t="s">
        <v>56</v>
      </c>
      <c r="E27" s="3" t="s">
        <v>48</v>
      </c>
      <c r="F27" s="3" t="s">
        <v>22</v>
      </c>
      <c r="G27" s="3" t="s">
        <v>327</v>
      </c>
      <c r="H27" s="3" t="s">
        <v>585</v>
      </c>
      <c r="I27" s="3">
        <v>11</v>
      </c>
      <c r="J27" s="3">
        <v>16</v>
      </c>
      <c r="K27" s="3">
        <v>0.35</v>
      </c>
      <c r="L27" s="3" t="b">
        <v>1</v>
      </c>
      <c r="M27" s="3">
        <v>0.86</v>
      </c>
      <c r="N27" s="3" t="b">
        <v>1</v>
      </c>
      <c r="O27" s="3" t="s">
        <v>601</v>
      </c>
      <c r="P27" s="3" t="s">
        <v>602</v>
      </c>
      <c r="Q27" s="3" t="s">
        <v>325</v>
      </c>
      <c r="R27" s="3" t="s">
        <v>329</v>
      </c>
      <c r="S27" s="3" t="s">
        <v>101</v>
      </c>
    </row>
    <row r="28" ht="30" customHeight="1" spans="1:19">
      <c r="A28" s="3" t="s">
        <v>609</v>
      </c>
      <c r="B28" s="3">
        <v>5</v>
      </c>
      <c r="C28" s="3" t="s">
        <v>55</v>
      </c>
      <c r="D28" s="3" t="s">
        <v>56</v>
      </c>
      <c r="E28" s="3" t="s">
        <v>48</v>
      </c>
      <c r="F28" s="3" t="s">
        <v>22</v>
      </c>
      <c r="G28" s="3" t="s">
        <v>327</v>
      </c>
      <c r="H28" s="3" t="s">
        <v>585</v>
      </c>
      <c r="I28" s="3">
        <v>16</v>
      </c>
      <c r="J28" s="3"/>
      <c r="K28" s="3">
        <v>0.59</v>
      </c>
      <c r="L28" s="3" t="b">
        <v>1</v>
      </c>
      <c r="M28" s="3">
        <v>1.04</v>
      </c>
      <c r="N28" s="3" t="b">
        <v>1</v>
      </c>
      <c r="O28" s="3" t="s">
        <v>610</v>
      </c>
      <c r="P28" s="3" t="s">
        <v>611</v>
      </c>
      <c r="Q28" s="3" t="s">
        <v>325</v>
      </c>
      <c r="R28" s="3" t="s">
        <v>329</v>
      </c>
      <c r="S28" s="3" t="s">
        <v>101</v>
      </c>
    </row>
    <row r="29" ht="30" customHeight="1" spans="1:19">
      <c r="A29" s="3" t="s">
        <v>612</v>
      </c>
      <c r="B29" s="3">
        <v>6</v>
      </c>
      <c r="C29" s="3" t="s">
        <v>63</v>
      </c>
      <c r="D29" s="3" t="s">
        <v>64</v>
      </c>
      <c r="E29" s="3" t="s">
        <v>48</v>
      </c>
      <c r="F29" s="3" t="s">
        <v>22</v>
      </c>
      <c r="G29" s="3" t="s">
        <v>327</v>
      </c>
      <c r="H29" s="3" t="s">
        <v>541</v>
      </c>
      <c r="I29" s="3">
        <v>1</v>
      </c>
      <c r="J29" s="3">
        <v>18</v>
      </c>
      <c r="K29" s="3">
        <v>7</v>
      </c>
      <c r="L29" s="3" t="b">
        <v>1</v>
      </c>
      <c r="M29" s="3">
        <v>20</v>
      </c>
      <c r="N29" s="3" t="b">
        <v>1</v>
      </c>
      <c r="O29" s="3" t="s">
        <v>613</v>
      </c>
      <c r="P29" s="3" t="s">
        <v>614</v>
      </c>
      <c r="Q29" s="3" t="s">
        <v>325</v>
      </c>
      <c r="R29" s="3" t="s">
        <v>329</v>
      </c>
      <c r="S29" s="3" t="s">
        <v>101</v>
      </c>
    </row>
    <row r="30" ht="30" customHeight="1" spans="1:19">
      <c r="A30" s="3" t="s">
        <v>615</v>
      </c>
      <c r="B30" s="3">
        <v>6</v>
      </c>
      <c r="C30" s="3" t="s">
        <v>63</v>
      </c>
      <c r="D30" s="3" t="s">
        <v>64</v>
      </c>
      <c r="E30" s="3" t="s">
        <v>48</v>
      </c>
      <c r="F30" s="3" t="s">
        <v>22</v>
      </c>
      <c r="G30" s="3" t="s">
        <v>327</v>
      </c>
      <c r="H30" s="3" t="s">
        <v>569</v>
      </c>
      <c r="I30" s="3">
        <v>18</v>
      </c>
      <c r="J30" s="3"/>
      <c r="K30" s="3">
        <v>8</v>
      </c>
      <c r="L30" s="3" t="b">
        <v>1</v>
      </c>
      <c r="M30" s="3">
        <v>24</v>
      </c>
      <c r="N30" s="3" t="b">
        <v>1</v>
      </c>
      <c r="O30" s="3" t="s">
        <v>616</v>
      </c>
      <c r="P30" s="3" t="s">
        <v>617</v>
      </c>
      <c r="Q30" s="3" t="s">
        <v>325</v>
      </c>
      <c r="R30" s="3" t="s">
        <v>329</v>
      </c>
      <c r="S30" s="3" t="s">
        <v>101</v>
      </c>
    </row>
    <row r="31" ht="30" customHeight="1" spans="1:19">
      <c r="A31" s="3" t="s">
        <v>618</v>
      </c>
      <c r="B31" s="3">
        <v>6</v>
      </c>
      <c r="C31" s="3" t="s">
        <v>63</v>
      </c>
      <c r="D31" s="3" t="s">
        <v>64</v>
      </c>
      <c r="E31" s="3" t="s">
        <v>48</v>
      </c>
      <c r="F31" s="3" t="s">
        <v>22</v>
      </c>
      <c r="G31" s="3" t="s">
        <v>327</v>
      </c>
      <c r="H31" s="3" t="s">
        <v>585</v>
      </c>
      <c r="I31" s="3">
        <v>18</v>
      </c>
      <c r="J31" s="3"/>
      <c r="K31" s="3">
        <v>6</v>
      </c>
      <c r="L31" s="3" t="b">
        <v>1</v>
      </c>
      <c r="M31" s="3">
        <v>21</v>
      </c>
      <c r="N31" s="3" t="b">
        <v>1</v>
      </c>
      <c r="O31" s="3" t="s">
        <v>619</v>
      </c>
      <c r="P31" s="3" t="s">
        <v>620</v>
      </c>
      <c r="Q31" s="3" t="s">
        <v>325</v>
      </c>
      <c r="R31" s="3" t="s">
        <v>329</v>
      </c>
      <c r="S31" s="3" t="s">
        <v>101</v>
      </c>
    </row>
    <row r="32" ht="30" customHeight="1" spans="1:19">
      <c r="A32" s="3" t="s">
        <v>621</v>
      </c>
      <c r="B32" s="3">
        <v>7</v>
      </c>
      <c r="C32" s="3" t="s">
        <v>67</v>
      </c>
      <c r="D32" s="3" t="s">
        <v>68</v>
      </c>
      <c r="E32" s="3" t="s">
        <v>48</v>
      </c>
      <c r="F32" s="3" t="s">
        <v>22</v>
      </c>
      <c r="G32" s="3" t="s">
        <v>327</v>
      </c>
      <c r="H32" s="3" t="s">
        <v>541</v>
      </c>
      <c r="I32" s="3">
        <v>1</v>
      </c>
      <c r="J32" s="3"/>
      <c r="K32" s="3">
        <v>70</v>
      </c>
      <c r="L32" s="3" t="b">
        <v>1</v>
      </c>
      <c r="M32" s="3">
        <v>140</v>
      </c>
      <c r="N32" s="3" t="b">
        <v>1</v>
      </c>
      <c r="O32" s="3" t="s">
        <v>622</v>
      </c>
      <c r="P32" s="3" t="s">
        <v>345</v>
      </c>
      <c r="Q32" s="3" t="s">
        <v>325</v>
      </c>
      <c r="R32" s="3" t="s">
        <v>329</v>
      </c>
      <c r="S32" s="3" t="s">
        <v>623</v>
      </c>
    </row>
    <row r="33" ht="30" customHeight="1" spans="1:19">
      <c r="A33" s="3" t="s">
        <v>624</v>
      </c>
      <c r="B33" s="3">
        <v>8</v>
      </c>
      <c r="C33" s="3" t="s">
        <v>76</v>
      </c>
      <c r="D33" s="3" t="s">
        <v>77</v>
      </c>
      <c r="E33" s="3" t="s">
        <v>78</v>
      </c>
      <c r="F33" s="3" t="s">
        <v>22</v>
      </c>
      <c r="G33" s="3" t="s">
        <v>327</v>
      </c>
      <c r="H33" s="3" t="s">
        <v>541</v>
      </c>
      <c r="I33" s="3">
        <v>1</v>
      </c>
      <c r="J33" s="3"/>
      <c r="K33" s="3">
        <v>3.5</v>
      </c>
      <c r="L33" s="3" t="b">
        <v>1</v>
      </c>
      <c r="M33" s="3">
        <v>5</v>
      </c>
      <c r="N33" s="3" t="b">
        <v>1</v>
      </c>
      <c r="O33" s="3" t="s">
        <v>625</v>
      </c>
      <c r="P33" s="3" t="s">
        <v>350</v>
      </c>
      <c r="Q33" s="3" t="s">
        <v>351</v>
      </c>
      <c r="R33" s="3" t="s">
        <v>353</v>
      </c>
      <c r="S33" s="3" t="s">
        <v>101</v>
      </c>
    </row>
    <row r="34" ht="30" customHeight="1" spans="1:19">
      <c r="A34" s="3" t="s">
        <v>626</v>
      </c>
      <c r="B34" s="3">
        <v>9</v>
      </c>
      <c r="C34" s="3" t="s">
        <v>81</v>
      </c>
      <c r="D34" s="3" t="s">
        <v>83</v>
      </c>
      <c r="E34" s="3" t="s">
        <v>78</v>
      </c>
      <c r="F34" s="3" t="s">
        <v>22</v>
      </c>
      <c r="G34" s="3" t="s">
        <v>327</v>
      </c>
      <c r="H34" s="3" t="s">
        <v>569</v>
      </c>
      <c r="I34" s="3">
        <v>1</v>
      </c>
      <c r="J34" s="3">
        <v>2</v>
      </c>
      <c r="K34" s="3">
        <v>10.1</v>
      </c>
      <c r="L34" s="3" t="b">
        <v>1</v>
      </c>
      <c r="M34" s="3">
        <v>12.5</v>
      </c>
      <c r="N34" s="3" t="b">
        <v>1</v>
      </c>
      <c r="O34" s="3" t="s">
        <v>627</v>
      </c>
      <c r="P34" s="3" t="s">
        <v>628</v>
      </c>
      <c r="Q34" s="3" t="s">
        <v>354</v>
      </c>
      <c r="R34" s="3" t="s">
        <v>356</v>
      </c>
      <c r="S34" s="3" t="s">
        <v>101</v>
      </c>
    </row>
    <row r="35" ht="30" customHeight="1" spans="1:19">
      <c r="A35" s="3" t="s">
        <v>629</v>
      </c>
      <c r="B35" s="3">
        <v>9</v>
      </c>
      <c r="C35" s="3" t="s">
        <v>81</v>
      </c>
      <c r="D35" s="3" t="s">
        <v>83</v>
      </c>
      <c r="E35" s="3" t="s">
        <v>78</v>
      </c>
      <c r="F35" s="3" t="s">
        <v>22</v>
      </c>
      <c r="G35" s="3" t="s">
        <v>327</v>
      </c>
      <c r="H35" s="3" t="s">
        <v>569</v>
      </c>
      <c r="I35" s="3">
        <v>2</v>
      </c>
      <c r="J35" s="3">
        <v>3</v>
      </c>
      <c r="K35" s="3">
        <v>10.2</v>
      </c>
      <c r="L35" s="3" t="b">
        <v>1</v>
      </c>
      <c r="M35" s="3">
        <v>12.7</v>
      </c>
      <c r="N35" s="3" t="b">
        <v>1</v>
      </c>
      <c r="O35" s="3" t="s">
        <v>630</v>
      </c>
      <c r="P35" s="3" t="s">
        <v>631</v>
      </c>
      <c r="Q35" s="3" t="s">
        <v>354</v>
      </c>
      <c r="R35" s="3" t="s">
        <v>356</v>
      </c>
      <c r="S35" s="3" t="s">
        <v>101</v>
      </c>
    </row>
    <row r="36" ht="30" customHeight="1" spans="1:19">
      <c r="A36" s="3" t="s">
        <v>632</v>
      </c>
      <c r="B36" s="3">
        <v>9</v>
      </c>
      <c r="C36" s="3" t="s">
        <v>81</v>
      </c>
      <c r="D36" s="3" t="s">
        <v>83</v>
      </c>
      <c r="E36" s="3" t="s">
        <v>78</v>
      </c>
      <c r="F36" s="3" t="s">
        <v>22</v>
      </c>
      <c r="G36" s="3" t="s">
        <v>327</v>
      </c>
      <c r="H36" s="3" t="s">
        <v>569</v>
      </c>
      <c r="I36" s="3">
        <v>3</v>
      </c>
      <c r="J36" s="3">
        <v>6</v>
      </c>
      <c r="K36" s="3">
        <v>11.4</v>
      </c>
      <c r="L36" s="3" t="b">
        <v>1</v>
      </c>
      <c r="M36" s="3">
        <v>14.3</v>
      </c>
      <c r="N36" s="3" t="b">
        <v>1</v>
      </c>
      <c r="O36" s="3" t="s">
        <v>633</v>
      </c>
      <c r="P36" s="3" t="s">
        <v>634</v>
      </c>
      <c r="Q36" s="3" t="s">
        <v>354</v>
      </c>
      <c r="R36" s="3" t="s">
        <v>356</v>
      </c>
      <c r="S36" s="3" t="s">
        <v>101</v>
      </c>
    </row>
    <row r="37" ht="30" customHeight="1" spans="1:19">
      <c r="A37" s="3" t="s">
        <v>635</v>
      </c>
      <c r="B37" s="3">
        <v>9</v>
      </c>
      <c r="C37" s="3" t="s">
        <v>81</v>
      </c>
      <c r="D37" s="3" t="s">
        <v>83</v>
      </c>
      <c r="E37" s="3" t="s">
        <v>78</v>
      </c>
      <c r="F37" s="3" t="s">
        <v>22</v>
      </c>
      <c r="G37" s="3" t="s">
        <v>327</v>
      </c>
      <c r="H37" s="3" t="s">
        <v>569</v>
      </c>
      <c r="I37" s="3">
        <v>6</v>
      </c>
      <c r="J37" s="3">
        <v>9</v>
      </c>
      <c r="K37" s="3">
        <v>11.5</v>
      </c>
      <c r="L37" s="3" t="b">
        <v>1</v>
      </c>
      <c r="M37" s="3">
        <v>14.3</v>
      </c>
      <c r="N37" s="3" t="b">
        <v>1</v>
      </c>
      <c r="O37" s="3" t="s">
        <v>636</v>
      </c>
      <c r="P37" s="3" t="s">
        <v>637</v>
      </c>
      <c r="Q37" s="3" t="s">
        <v>354</v>
      </c>
      <c r="R37" s="3" t="s">
        <v>356</v>
      </c>
      <c r="S37" s="3" t="s">
        <v>101</v>
      </c>
    </row>
    <row r="38" ht="30" customHeight="1" spans="1:19">
      <c r="A38" s="3" t="s">
        <v>638</v>
      </c>
      <c r="B38" s="3">
        <v>9</v>
      </c>
      <c r="C38" s="3" t="s">
        <v>81</v>
      </c>
      <c r="D38" s="3" t="s">
        <v>83</v>
      </c>
      <c r="E38" s="3" t="s">
        <v>78</v>
      </c>
      <c r="F38" s="3" t="s">
        <v>22</v>
      </c>
      <c r="G38" s="3" t="s">
        <v>327</v>
      </c>
      <c r="H38" s="3" t="s">
        <v>569</v>
      </c>
      <c r="I38" s="3">
        <v>9</v>
      </c>
      <c r="J38" s="3">
        <v>11</v>
      </c>
      <c r="K38" s="3">
        <v>11.8</v>
      </c>
      <c r="L38" s="3" t="b">
        <v>1</v>
      </c>
      <c r="M38" s="3">
        <v>14.7</v>
      </c>
      <c r="N38" s="3" t="b">
        <v>1</v>
      </c>
      <c r="O38" s="3" t="s">
        <v>639</v>
      </c>
      <c r="P38" s="3" t="s">
        <v>640</v>
      </c>
      <c r="Q38" s="3" t="s">
        <v>354</v>
      </c>
      <c r="R38" s="3" t="s">
        <v>356</v>
      </c>
      <c r="S38" s="3" t="s">
        <v>101</v>
      </c>
    </row>
    <row r="39" ht="30" customHeight="1" spans="1:19">
      <c r="A39" s="3" t="s">
        <v>641</v>
      </c>
      <c r="B39" s="3">
        <v>9</v>
      </c>
      <c r="C39" s="3" t="s">
        <v>81</v>
      </c>
      <c r="D39" s="3" t="s">
        <v>83</v>
      </c>
      <c r="E39" s="3" t="s">
        <v>78</v>
      </c>
      <c r="F39" s="3" t="s">
        <v>22</v>
      </c>
      <c r="G39" s="3" t="s">
        <v>327</v>
      </c>
      <c r="H39" s="3" t="s">
        <v>569</v>
      </c>
      <c r="I39" s="3">
        <v>11</v>
      </c>
      <c r="J39" s="3">
        <v>15</v>
      </c>
      <c r="K39" s="3">
        <v>12.4</v>
      </c>
      <c r="L39" s="3" t="b">
        <v>1</v>
      </c>
      <c r="M39" s="3">
        <v>15.7</v>
      </c>
      <c r="N39" s="3" t="b">
        <v>1</v>
      </c>
      <c r="O39" s="3" t="s">
        <v>642</v>
      </c>
      <c r="P39" s="3" t="s">
        <v>643</v>
      </c>
      <c r="Q39" s="3" t="s">
        <v>354</v>
      </c>
      <c r="R39" s="3" t="s">
        <v>356</v>
      </c>
      <c r="S39" s="3" t="s">
        <v>101</v>
      </c>
    </row>
    <row r="40" ht="30" customHeight="1" spans="1:19">
      <c r="A40" s="3" t="s">
        <v>644</v>
      </c>
      <c r="B40" s="3">
        <v>9</v>
      </c>
      <c r="C40" s="3" t="s">
        <v>81</v>
      </c>
      <c r="D40" s="3" t="s">
        <v>83</v>
      </c>
      <c r="E40" s="3" t="s">
        <v>78</v>
      </c>
      <c r="F40" s="3" t="s">
        <v>22</v>
      </c>
      <c r="G40" s="3" t="s">
        <v>327</v>
      </c>
      <c r="H40" s="3" t="s">
        <v>569</v>
      </c>
      <c r="I40" s="3">
        <v>15</v>
      </c>
      <c r="J40" s="3">
        <v>18</v>
      </c>
      <c r="K40" s="3">
        <v>13.3</v>
      </c>
      <c r="L40" s="3" t="b">
        <v>1</v>
      </c>
      <c r="M40" s="3">
        <v>16.9</v>
      </c>
      <c r="N40" s="3" t="b">
        <v>1</v>
      </c>
      <c r="O40" s="3" t="s">
        <v>645</v>
      </c>
      <c r="P40" s="3" t="s">
        <v>646</v>
      </c>
      <c r="Q40" s="3" t="s">
        <v>354</v>
      </c>
      <c r="R40" s="3" t="s">
        <v>356</v>
      </c>
      <c r="S40" s="3" t="s">
        <v>101</v>
      </c>
    </row>
    <row r="41" ht="30" customHeight="1" spans="1:19">
      <c r="A41" s="3" t="s">
        <v>647</v>
      </c>
      <c r="B41" s="3">
        <v>9</v>
      </c>
      <c r="C41" s="3" t="s">
        <v>81</v>
      </c>
      <c r="D41" s="3" t="s">
        <v>83</v>
      </c>
      <c r="E41" s="3" t="s">
        <v>78</v>
      </c>
      <c r="F41" s="3" t="s">
        <v>22</v>
      </c>
      <c r="G41" s="3" t="s">
        <v>327</v>
      </c>
      <c r="H41" s="3" t="s">
        <v>569</v>
      </c>
      <c r="I41" s="3">
        <v>18</v>
      </c>
      <c r="J41" s="3"/>
      <c r="K41" s="3">
        <v>13.2</v>
      </c>
      <c r="L41" s="3" t="b">
        <v>1</v>
      </c>
      <c r="M41" s="3">
        <v>16.6</v>
      </c>
      <c r="N41" s="3" t="b">
        <v>1</v>
      </c>
      <c r="O41" s="3" t="s">
        <v>648</v>
      </c>
      <c r="P41" s="3" t="s">
        <v>649</v>
      </c>
      <c r="Q41" s="3" t="s">
        <v>354</v>
      </c>
      <c r="R41" s="3" t="s">
        <v>356</v>
      </c>
      <c r="S41" s="3" t="s">
        <v>101</v>
      </c>
    </row>
    <row r="42" ht="30" customHeight="1" spans="1:19">
      <c r="A42" s="3" t="s">
        <v>650</v>
      </c>
      <c r="B42" s="3">
        <v>9</v>
      </c>
      <c r="C42" s="3" t="s">
        <v>81</v>
      </c>
      <c r="D42" s="3" t="s">
        <v>83</v>
      </c>
      <c r="E42" s="3" t="s">
        <v>78</v>
      </c>
      <c r="F42" s="3" t="s">
        <v>22</v>
      </c>
      <c r="G42" s="3" t="s">
        <v>327</v>
      </c>
      <c r="H42" s="3" t="s">
        <v>585</v>
      </c>
      <c r="I42" s="3">
        <v>1</v>
      </c>
      <c r="J42" s="3">
        <v>3</v>
      </c>
      <c r="K42" s="3">
        <v>10.2</v>
      </c>
      <c r="L42" s="3" t="b">
        <v>1</v>
      </c>
      <c r="M42" s="3">
        <v>12.7</v>
      </c>
      <c r="N42" s="3" t="b">
        <v>1</v>
      </c>
      <c r="O42" s="3" t="s">
        <v>630</v>
      </c>
      <c r="P42" s="3" t="s">
        <v>631</v>
      </c>
      <c r="Q42" s="3" t="s">
        <v>354</v>
      </c>
      <c r="R42" s="3" t="s">
        <v>356</v>
      </c>
      <c r="S42" s="3" t="s">
        <v>101</v>
      </c>
    </row>
    <row r="43" ht="30" customHeight="1" spans="1:19">
      <c r="A43" s="3" t="s">
        <v>651</v>
      </c>
      <c r="B43" s="3">
        <v>9</v>
      </c>
      <c r="C43" s="3" t="s">
        <v>81</v>
      </c>
      <c r="D43" s="3" t="s">
        <v>83</v>
      </c>
      <c r="E43" s="3" t="s">
        <v>78</v>
      </c>
      <c r="F43" s="3" t="s">
        <v>22</v>
      </c>
      <c r="G43" s="3" t="s">
        <v>327</v>
      </c>
      <c r="H43" s="3" t="s">
        <v>585</v>
      </c>
      <c r="I43" s="3">
        <v>3</v>
      </c>
      <c r="J43" s="3">
        <v>6</v>
      </c>
      <c r="K43" s="3">
        <v>11.4</v>
      </c>
      <c r="L43" s="3" t="b">
        <v>1</v>
      </c>
      <c r="M43" s="3">
        <v>14.3</v>
      </c>
      <c r="N43" s="3" t="b">
        <v>1</v>
      </c>
      <c r="O43" s="3" t="s">
        <v>633</v>
      </c>
      <c r="P43" s="3" t="s">
        <v>634</v>
      </c>
      <c r="Q43" s="3" t="s">
        <v>354</v>
      </c>
      <c r="R43" s="3" t="s">
        <v>356</v>
      </c>
      <c r="S43" s="3" t="s">
        <v>101</v>
      </c>
    </row>
    <row r="44" ht="30" customHeight="1" spans="1:19">
      <c r="A44" s="3" t="s">
        <v>652</v>
      </c>
      <c r="B44" s="3">
        <v>9</v>
      </c>
      <c r="C44" s="3" t="s">
        <v>81</v>
      </c>
      <c r="D44" s="3" t="s">
        <v>83</v>
      </c>
      <c r="E44" s="3" t="s">
        <v>78</v>
      </c>
      <c r="F44" s="3" t="s">
        <v>22</v>
      </c>
      <c r="G44" s="3" t="s">
        <v>327</v>
      </c>
      <c r="H44" s="3" t="s">
        <v>585</v>
      </c>
      <c r="I44" s="3">
        <v>6</v>
      </c>
      <c r="J44" s="3">
        <v>9</v>
      </c>
      <c r="K44" s="3">
        <v>11.5</v>
      </c>
      <c r="L44" s="3" t="b">
        <v>1</v>
      </c>
      <c r="M44" s="3">
        <v>14.3</v>
      </c>
      <c r="N44" s="3" t="b">
        <v>1</v>
      </c>
      <c r="O44" s="3" t="s">
        <v>636</v>
      </c>
      <c r="P44" s="3" t="s">
        <v>637</v>
      </c>
      <c r="Q44" s="3" t="s">
        <v>354</v>
      </c>
      <c r="R44" s="3" t="s">
        <v>356</v>
      </c>
      <c r="S44" s="3" t="s">
        <v>101</v>
      </c>
    </row>
    <row r="45" ht="30" customHeight="1" spans="1:19">
      <c r="A45" s="3" t="s">
        <v>653</v>
      </c>
      <c r="B45" s="3">
        <v>9</v>
      </c>
      <c r="C45" s="3" t="s">
        <v>81</v>
      </c>
      <c r="D45" s="3" t="s">
        <v>83</v>
      </c>
      <c r="E45" s="3" t="s">
        <v>78</v>
      </c>
      <c r="F45" s="3" t="s">
        <v>22</v>
      </c>
      <c r="G45" s="3" t="s">
        <v>327</v>
      </c>
      <c r="H45" s="3" t="s">
        <v>585</v>
      </c>
      <c r="I45" s="3">
        <v>9</v>
      </c>
      <c r="J45" s="3">
        <v>11</v>
      </c>
      <c r="K45" s="3">
        <v>11.8</v>
      </c>
      <c r="L45" s="3" t="b">
        <v>1</v>
      </c>
      <c r="M45" s="3">
        <v>14.7</v>
      </c>
      <c r="N45" s="3" t="b">
        <v>1</v>
      </c>
      <c r="O45" s="3" t="s">
        <v>639</v>
      </c>
      <c r="P45" s="3" t="s">
        <v>640</v>
      </c>
      <c r="Q45" s="3" t="s">
        <v>354</v>
      </c>
      <c r="R45" s="3" t="s">
        <v>356</v>
      </c>
      <c r="S45" s="3" t="s">
        <v>101</v>
      </c>
    </row>
    <row r="46" ht="30" customHeight="1" spans="1:19">
      <c r="A46" s="3" t="s">
        <v>654</v>
      </c>
      <c r="B46" s="3">
        <v>9</v>
      </c>
      <c r="C46" s="3" t="s">
        <v>81</v>
      </c>
      <c r="D46" s="3" t="s">
        <v>83</v>
      </c>
      <c r="E46" s="3" t="s">
        <v>78</v>
      </c>
      <c r="F46" s="3" t="s">
        <v>22</v>
      </c>
      <c r="G46" s="3" t="s">
        <v>327</v>
      </c>
      <c r="H46" s="3" t="s">
        <v>585</v>
      </c>
      <c r="I46" s="3">
        <v>11</v>
      </c>
      <c r="J46" s="3">
        <v>18</v>
      </c>
      <c r="K46" s="3">
        <v>11.9</v>
      </c>
      <c r="L46" s="3" t="b">
        <v>1</v>
      </c>
      <c r="M46" s="3">
        <v>14.8</v>
      </c>
      <c r="N46" s="3" t="b">
        <v>1</v>
      </c>
      <c r="O46" s="3" t="s">
        <v>655</v>
      </c>
      <c r="P46" s="3" t="s">
        <v>656</v>
      </c>
      <c r="Q46" s="3" t="s">
        <v>354</v>
      </c>
      <c r="R46" s="3" t="s">
        <v>356</v>
      </c>
      <c r="S46" s="3" t="s">
        <v>101</v>
      </c>
    </row>
    <row r="47" ht="30" customHeight="1" spans="1:19">
      <c r="A47" s="3" t="s">
        <v>657</v>
      </c>
      <c r="B47" s="3">
        <v>9</v>
      </c>
      <c r="C47" s="3" t="s">
        <v>81</v>
      </c>
      <c r="D47" s="3" t="s">
        <v>83</v>
      </c>
      <c r="E47" s="3" t="s">
        <v>78</v>
      </c>
      <c r="F47" s="3" t="s">
        <v>22</v>
      </c>
      <c r="G47" s="3" t="s">
        <v>327</v>
      </c>
      <c r="H47" s="3" t="s">
        <v>585</v>
      </c>
      <c r="I47" s="3">
        <v>18</v>
      </c>
      <c r="J47" s="3"/>
      <c r="K47" s="3">
        <v>11.6</v>
      </c>
      <c r="L47" s="3" t="b">
        <v>1</v>
      </c>
      <c r="M47" s="3">
        <v>15</v>
      </c>
      <c r="N47" s="3" t="b">
        <v>1</v>
      </c>
      <c r="O47" s="3" t="s">
        <v>658</v>
      </c>
      <c r="P47" s="3" t="s">
        <v>659</v>
      </c>
      <c r="Q47" s="3" t="s">
        <v>354</v>
      </c>
      <c r="R47" s="3" t="s">
        <v>356</v>
      </c>
      <c r="S47" s="3" t="s">
        <v>101</v>
      </c>
    </row>
    <row r="48" ht="30" customHeight="1" spans="1:19">
      <c r="A48" s="3" t="s">
        <v>660</v>
      </c>
      <c r="B48" s="3">
        <v>10</v>
      </c>
      <c r="C48" s="3" t="s">
        <v>91</v>
      </c>
      <c r="D48" s="3" t="s">
        <v>92</v>
      </c>
      <c r="E48" s="3" t="s">
        <v>93</v>
      </c>
      <c r="F48" s="3" t="s">
        <v>22</v>
      </c>
      <c r="G48" s="3" t="s">
        <v>327</v>
      </c>
      <c r="H48" s="3" t="s">
        <v>569</v>
      </c>
      <c r="I48" s="3">
        <v>1</v>
      </c>
      <c r="J48" s="3">
        <v>2</v>
      </c>
      <c r="K48" s="3">
        <v>206</v>
      </c>
      <c r="L48" s="3" t="b">
        <v>1</v>
      </c>
      <c r="M48" s="3">
        <v>445</v>
      </c>
      <c r="N48" s="3" t="b">
        <v>1</v>
      </c>
      <c r="O48" s="3" t="s">
        <v>661</v>
      </c>
      <c r="P48" s="3" t="s">
        <v>662</v>
      </c>
      <c r="Q48" s="3" t="s">
        <v>357</v>
      </c>
      <c r="R48" s="3" t="s">
        <v>359</v>
      </c>
      <c r="S48" s="3" t="s">
        <v>663</v>
      </c>
    </row>
    <row r="49" ht="30" customHeight="1" spans="1:19">
      <c r="A49" s="3" t="s">
        <v>664</v>
      </c>
      <c r="B49" s="3">
        <v>10</v>
      </c>
      <c r="C49" s="3" t="s">
        <v>91</v>
      </c>
      <c r="D49" s="3" t="s">
        <v>92</v>
      </c>
      <c r="E49" s="3" t="s">
        <v>93</v>
      </c>
      <c r="F49" s="3" t="s">
        <v>22</v>
      </c>
      <c r="G49" s="3" t="s">
        <v>327</v>
      </c>
      <c r="H49" s="3" t="s">
        <v>569</v>
      </c>
      <c r="I49" s="3">
        <v>2</v>
      </c>
      <c r="J49" s="3">
        <v>3</v>
      </c>
      <c r="K49" s="3">
        <v>202</v>
      </c>
      <c r="L49" s="3" t="b">
        <v>1</v>
      </c>
      <c r="M49" s="3">
        <v>403</v>
      </c>
      <c r="N49" s="3" t="b">
        <v>1</v>
      </c>
      <c r="O49" s="3" t="s">
        <v>665</v>
      </c>
      <c r="P49" s="3" t="s">
        <v>666</v>
      </c>
      <c r="Q49" s="3" t="s">
        <v>357</v>
      </c>
      <c r="R49" s="3" t="s">
        <v>359</v>
      </c>
      <c r="S49" s="3" t="s">
        <v>663</v>
      </c>
    </row>
    <row r="50" ht="30" customHeight="1" spans="1:19">
      <c r="A50" s="3" t="s">
        <v>667</v>
      </c>
      <c r="B50" s="3">
        <v>10</v>
      </c>
      <c r="C50" s="3" t="s">
        <v>91</v>
      </c>
      <c r="D50" s="3" t="s">
        <v>92</v>
      </c>
      <c r="E50" s="3" t="s">
        <v>93</v>
      </c>
      <c r="F50" s="3" t="s">
        <v>22</v>
      </c>
      <c r="G50" s="3" t="s">
        <v>327</v>
      </c>
      <c r="H50" s="3" t="s">
        <v>569</v>
      </c>
      <c r="I50" s="3">
        <v>3</v>
      </c>
      <c r="J50" s="3">
        <v>6</v>
      </c>
      <c r="K50" s="3">
        <v>187</v>
      </c>
      <c r="L50" s="3" t="b">
        <v>1</v>
      </c>
      <c r="M50" s="3">
        <v>445</v>
      </c>
      <c r="N50" s="3" t="b">
        <v>1</v>
      </c>
      <c r="O50" s="3" t="s">
        <v>668</v>
      </c>
      <c r="P50" s="3" t="s">
        <v>669</v>
      </c>
      <c r="Q50" s="3" t="s">
        <v>357</v>
      </c>
      <c r="R50" s="3" t="s">
        <v>359</v>
      </c>
      <c r="S50" s="3" t="s">
        <v>663</v>
      </c>
    </row>
    <row r="51" ht="30" customHeight="1" spans="1:19">
      <c r="A51" s="3" t="s">
        <v>670</v>
      </c>
      <c r="B51" s="3">
        <v>10</v>
      </c>
      <c r="C51" s="3" t="s">
        <v>91</v>
      </c>
      <c r="D51" s="3" t="s">
        <v>92</v>
      </c>
      <c r="E51" s="3" t="s">
        <v>93</v>
      </c>
      <c r="F51" s="3" t="s">
        <v>22</v>
      </c>
      <c r="G51" s="3" t="s">
        <v>327</v>
      </c>
      <c r="H51" s="3" t="s">
        <v>569</v>
      </c>
      <c r="I51" s="3">
        <v>6</v>
      </c>
      <c r="J51" s="3">
        <v>10</v>
      </c>
      <c r="K51" s="3">
        <v>187</v>
      </c>
      <c r="L51" s="3" t="b">
        <v>1</v>
      </c>
      <c r="M51" s="3">
        <v>400</v>
      </c>
      <c r="N51" s="3" t="b">
        <v>1</v>
      </c>
      <c r="O51" s="3" t="s">
        <v>671</v>
      </c>
      <c r="P51" s="3" t="s">
        <v>672</v>
      </c>
      <c r="Q51" s="3" t="s">
        <v>357</v>
      </c>
      <c r="R51" s="3" t="s">
        <v>359</v>
      </c>
      <c r="S51" s="3" t="s">
        <v>663</v>
      </c>
    </row>
    <row r="52" ht="30" customHeight="1" spans="1:19">
      <c r="A52" s="3" t="s">
        <v>673</v>
      </c>
      <c r="B52" s="3">
        <v>10</v>
      </c>
      <c r="C52" s="3" t="s">
        <v>91</v>
      </c>
      <c r="D52" s="3" t="s">
        <v>92</v>
      </c>
      <c r="E52" s="3" t="s">
        <v>93</v>
      </c>
      <c r="F52" s="3" t="s">
        <v>22</v>
      </c>
      <c r="G52" s="3" t="s">
        <v>327</v>
      </c>
      <c r="H52" s="3" t="s">
        <v>569</v>
      </c>
      <c r="I52" s="3">
        <v>10</v>
      </c>
      <c r="J52" s="3">
        <v>14</v>
      </c>
      <c r="K52" s="3">
        <v>177</v>
      </c>
      <c r="L52" s="3" t="b">
        <v>1</v>
      </c>
      <c r="M52" s="3">
        <v>381</v>
      </c>
      <c r="N52" s="3" t="b">
        <v>1</v>
      </c>
      <c r="O52" s="3" t="s">
        <v>674</v>
      </c>
      <c r="P52" s="3" t="s">
        <v>675</v>
      </c>
      <c r="Q52" s="3" t="s">
        <v>357</v>
      </c>
      <c r="R52" s="3" t="s">
        <v>359</v>
      </c>
      <c r="S52" s="3" t="s">
        <v>663</v>
      </c>
    </row>
    <row r="53" ht="30" customHeight="1" spans="1:19">
      <c r="A53" s="3" t="s">
        <v>676</v>
      </c>
      <c r="B53" s="3">
        <v>10</v>
      </c>
      <c r="C53" s="3" t="s">
        <v>91</v>
      </c>
      <c r="D53" s="3" t="s">
        <v>92</v>
      </c>
      <c r="E53" s="3" t="s">
        <v>93</v>
      </c>
      <c r="F53" s="3" t="s">
        <v>22</v>
      </c>
      <c r="G53" s="3" t="s">
        <v>327</v>
      </c>
      <c r="H53" s="3" t="s">
        <v>569</v>
      </c>
      <c r="I53" s="3">
        <v>14</v>
      </c>
      <c r="J53" s="3">
        <v>18</v>
      </c>
      <c r="K53" s="3">
        <v>139</v>
      </c>
      <c r="L53" s="3" t="b">
        <v>1</v>
      </c>
      <c r="M53" s="3">
        <v>320</v>
      </c>
      <c r="N53" s="3" t="b">
        <v>1</v>
      </c>
      <c r="O53" s="3" t="s">
        <v>677</v>
      </c>
      <c r="P53" s="3" t="s">
        <v>678</v>
      </c>
      <c r="Q53" s="3" t="s">
        <v>357</v>
      </c>
      <c r="R53" s="3" t="s">
        <v>359</v>
      </c>
      <c r="S53" s="3" t="s">
        <v>663</v>
      </c>
    </row>
    <row r="54" ht="30" customHeight="1" spans="1:19">
      <c r="A54" s="3" t="s">
        <v>679</v>
      </c>
      <c r="B54" s="3">
        <v>10</v>
      </c>
      <c r="C54" s="3" t="s">
        <v>91</v>
      </c>
      <c r="D54" s="3" t="s">
        <v>92</v>
      </c>
      <c r="E54" s="3" t="s">
        <v>93</v>
      </c>
      <c r="F54" s="3" t="s">
        <v>22</v>
      </c>
      <c r="G54" s="3" t="s">
        <v>327</v>
      </c>
      <c r="H54" s="3" t="s">
        <v>569</v>
      </c>
      <c r="I54" s="3">
        <v>18</v>
      </c>
      <c r="J54" s="3"/>
      <c r="K54" s="3">
        <v>135</v>
      </c>
      <c r="L54" s="3" t="b">
        <v>1</v>
      </c>
      <c r="M54" s="3">
        <v>317</v>
      </c>
      <c r="N54" s="3" t="b">
        <v>1</v>
      </c>
      <c r="O54" s="3" t="s">
        <v>680</v>
      </c>
      <c r="P54" s="3" t="s">
        <v>681</v>
      </c>
      <c r="Q54" s="3" t="s">
        <v>357</v>
      </c>
      <c r="R54" s="3" t="s">
        <v>359</v>
      </c>
      <c r="S54" s="3" t="s">
        <v>663</v>
      </c>
    </row>
    <row r="55" ht="30" customHeight="1" spans="1:19">
      <c r="A55" s="3" t="s">
        <v>682</v>
      </c>
      <c r="B55" s="3">
        <v>10</v>
      </c>
      <c r="C55" s="3" t="s">
        <v>91</v>
      </c>
      <c r="D55" s="3" t="s">
        <v>92</v>
      </c>
      <c r="E55" s="3" t="s">
        <v>93</v>
      </c>
      <c r="F55" s="3" t="s">
        <v>22</v>
      </c>
      <c r="G55" s="3" t="s">
        <v>327</v>
      </c>
      <c r="H55" s="3" t="s">
        <v>585</v>
      </c>
      <c r="I55" s="3">
        <v>1</v>
      </c>
      <c r="J55" s="3">
        <v>2</v>
      </c>
      <c r="K55" s="3">
        <v>214</v>
      </c>
      <c r="L55" s="3" t="b">
        <v>1</v>
      </c>
      <c r="M55" s="3">
        <v>459</v>
      </c>
      <c r="N55" s="3" t="b">
        <v>1</v>
      </c>
      <c r="O55" s="3" t="s">
        <v>683</v>
      </c>
      <c r="P55" s="3" t="s">
        <v>684</v>
      </c>
      <c r="Q55" s="3" t="s">
        <v>357</v>
      </c>
      <c r="R55" s="3" t="s">
        <v>359</v>
      </c>
      <c r="S55" s="3" t="s">
        <v>663</v>
      </c>
    </row>
    <row r="56" ht="30" customHeight="1" spans="1:19">
      <c r="A56" s="3" t="s">
        <v>685</v>
      </c>
      <c r="B56" s="3">
        <v>10</v>
      </c>
      <c r="C56" s="3" t="s">
        <v>91</v>
      </c>
      <c r="D56" s="3" t="s">
        <v>92</v>
      </c>
      <c r="E56" s="3" t="s">
        <v>93</v>
      </c>
      <c r="F56" s="3" t="s">
        <v>22</v>
      </c>
      <c r="G56" s="3" t="s">
        <v>327</v>
      </c>
      <c r="H56" s="3" t="s">
        <v>585</v>
      </c>
      <c r="I56" s="3">
        <v>2</v>
      </c>
      <c r="J56" s="3">
        <v>3</v>
      </c>
      <c r="K56" s="3">
        <v>189</v>
      </c>
      <c r="L56" s="3" t="b">
        <v>1</v>
      </c>
      <c r="M56" s="3">
        <v>394</v>
      </c>
      <c r="N56" s="3" t="b">
        <v>1</v>
      </c>
      <c r="O56" s="3" t="s">
        <v>686</v>
      </c>
      <c r="P56" s="3" t="s">
        <v>687</v>
      </c>
      <c r="Q56" s="3" t="s">
        <v>357</v>
      </c>
      <c r="R56" s="3" t="s">
        <v>359</v>
      </c>
      <c r="S56" s="3" t="s">
        <v>663</v>
      </c>
    </row>
    <row r="57" ht="30" customHeight="1" spans="1:19">
      <c r="A57" s="3" t="s">
        <v>688</v>
      </c>
      <c r="B57" s="3">
        <v>10</v>
      </c>
      <c r="C57" s="3" t="s">
        <v>91</v>
      </c>
      <c r="D57" s="3" t="s">
        <v>92</v>
      </c>
      <c r="E57" s="3" t="s">
        <v>93</v>
      </c>
      <c r="F57" s="3" t="s">
        <v>22</v>
      </c>
      <c r="G57" s="3" t="s">
        <v>327</v>
      </c>
      <c r="H57" s="3" t="s">
        <v>585</v>
      </c>
      <c r="I57" s="3">
        <v>3</v>
      </c>
      <c r="J57" s="3">
        <v>6</v>
      </c>
      <c r="K57" s="3">
        <v>187</v>
      </c>
      <c r="L57" s="3" t="b">
        <v>1</v>
      </c>
      <c r="M57" s="3">
        <v>445</v>
      </c>
      <c r="N57" s="3" t="b">
        <v>1</v>
      </c>
      <c r="O57" s="3" t="s">
        <v>668</v>
      </c>
      <c r="P57" s="3" t="s">
        <v>669</v>
      </c>
      <c r="Q57" s="3" t="s">
        <v>357</v>
      </c>
      <c r="R57" s="3" t="s">
        <v>359</v>
      </c>
      <c r="S57" s="3" t="s">
        <v>663</v>
      </c>
    </row>
    <row r="58" ht="30" customHeight="1" spans="1:19">
      <c r="A58" s="3" t="s">
        <v>689</v>
      </c>
      <c r="B58" s="3">
        <v>10</v>
      </c>
      <c r="C58" s="3" t="s">
        <v>91</v>
      </c>
      <c r="D58" s="3" t="s">
        <v>92</v>
      </c>
      <c r="E58" s="3" t="s">
        <v>93</v>
      </c>
      <c r="F58" s="3" t="s">
        <v>22</v>
      </c>
      <c r="G58" s="3" t="s">
        <v>327</v>
      </c>
      <c r="H58" s="3" t="s">
        <v>585</v>
      </c>
      <c r="I58" s="3">
        <v>6</v>
      </c>
      <c r="J58" s="3">
        <v>10</v>
      </c>
      <c r="K58" s="3">
        <v>187</v>
      </c>
      <c r="L58" s="3" t="b">
        <v>1</v>
      </c>
      <c r="M58" s="3">
        <v>400</v>
      </c>
      <c r="N58" s="3" t="b">
        <v>1</v>
      </c>
      <c r="O58" s="3" t="s">
        <v>671</v>
      </c>
      <c r="P58" s="3" t="s">
        <v>672</v>
      </c>
      <c r="Q58" s="3" t="s">
        <v>357</v>
      </c>
      <c r="R58" s="3" t="s">
        <v>359</v>
      </c>
      <c r="S58" s="3" t="s">
        <v>663</v>
      </c>
    </row>
    <row r="59" ht="30" customHeight="1" spans="1:19">
      <c r="A59" s="3" t="s">
        <v>690</v>
      </c>
      <c r="B59" s="3">
        <v>10</v>
      </c>
      <c r="C59" s="3" t="s">
        <v>91</v>
      </c>
      <c r="D59" s="3" t="s">
        <v>92</v>
      </c>
      <c r="E59" s="3" t="s">
        <v>93</v>
      </c>
      <c r="F59" s="3" t="s">
        <v>22</v>
      </c>
      <c r="G59" s="3" t="s">
        <v>327</v>
      </c>
      <c r="H59" s="3" t="s">
        <v>585</v>
      </c>
      <c r="I59" s="3">
        <v>10</v>
      </c>
      <c r="J59" s="3">
        <v>14</v>
      </c>
      <c r="K59" s="3">
        <v>177</v>
      </c>
      <c r="L59" s="3" t="b">
        <v>1</v>
      </c>
      <c r="M59" s="3">
        <v>381</v>
      </c>
      <c r="N59" s="3" t="b">
        <v>1</v>
      </c>
      <c r="O59" s="3" t="s">
        <v>674</v>
      </c>
      <c r="P59" s="3" t="s">
        <v>675</v>
      </c>
      <c r="Q59" s="3" t="s">
        <v>357</v>
      </c>
      <c r="R59" s="3" t="s">
        <v>359</v>
      </c>
      <c r="S59" s="3" t="s">
        <v>663</v>
      </c>
    </row>
    <row r="60" ht="30" customHeight="1" spans="1:19">
      <c r="A60" s="3" t="s">
        <v>691</v>
      </c>
      <c r="B60" s="3">
        <v>10</v>
      </c>
      <c r="C60" s="3" t="s">
        <v>91</v>
      </c>
      <c r="D60" s="3" t="s">
        <v>92</v>
      </c>
      <c r="E60" s="3" t="s">
        <v>93</v>
      </c>
      <c r="F60" s="3" t="s">
        <v>22</v>
      </c>
      <c r="G60" s="3" t="s">
        <v>327</v>
      </c>
      <c r="H60" s="3" t="s">
        <v>585</v>
      </c>
      <c r="I60" s="3">
        <v>14</v>
      </c>
      <c r="J60" s="3">
        <v>18</v>
      </c>
      <c r="K60" s="3">
        <v>158</v>
      </c>
      <c r="L60" s="3" t="b">
        <v>1</v>
      </c>
      <c r="M60" s="3">
        <v>362</v>
      </c>
      <c r="N60" s="3" t="b">
        <v>1</v>
      </c>
      <c r="O60" s="3" t="s">
        <v>692</v>
      </c>
      <c r="P60" s="3" t="s">
        <v>693</v>
      </c>
      <c r="Q60" s="3" t="s">
        <v>357</v>
      </c>
      <c r="R60" s="3" t="s">
        <v>359</v>
      </c>
      <c r="S60" s="3" t="s">
        <v>663</v>
      </c>
    </row>
    <row r="61" ht="30" customHeight="1" spans="1:19">
      <c r="A61" s="3" t="s">
        <v>694</v>
      </c>
      <c r="B61" s="3">
        <v>10</v>
      </c>
      <c r="C61" s="3" t="s">
        <v>91</v>
      </c>
      <c r="D61" s="3" t="s">
        <v>92</v>
      </c>
      <c r="E61" s="3" t="s">
        <v>93</v>
      </c>
      <c r="F61" s="3" t="s">
        <v>22</v>
      </c>
      <c r="G61" s="3" t="s">
        <v>327</v>
      </c>
      <c r="H61" s="3" t="s">
        <v>585</v>
      </c>
      <c r="I61" s="3">
        <v>18</v>
      </c>
      <c r="J61" s="3"/>
      <c r="K61" s="3">
        <v>157</v>
      </c>
      <c r="L61" s="3" t="b">
        <v>1</v>
      </c>
      <c r="M61" s="3">
        <v>371</v>
      </c>
      <c r="N61" s="3" t="b">
        <v>1</v>
      </c>
      <c r="O61" s="3" t="s">
        <v>695</v>
      </c>
      <c r="P61" s="3" t="s">
        <v>696</v>
      </c>
      <c r="Q61" s="3" t="s">
        <v>357</v>
      </c>
      <c r="R61" s="3" t="s">
        <v>359</v>
      </c>
      <c r="S61" s="3" t="s">
        <v>663</v>
      </c>
    </row>
    <row r="62" ht="30" customHeight="1" spans="1:19">
      <c r="A62" s="4" t="s">
        <v>697</v>
      </c>
      <c r="B62" s="4">
        <v>11</v>
      </c>
      <c r="C62" s="4" t="s">
        <v>98</v>
      </c>
      <c r="D62" s="4" t="s">
        <v>99</v>
      </c>
      <c r="E62" s="4" t="s">
        <v>27</v>
      </c>
      <c r="F62" s="4" t="s">
        <v>96</v>
      </c>
      <c r="G62" s="4" t="s">
        <v>365</v>
      </c>
      <c r="H62" s="4" t="s">
        <v>541</v>
      </c>
      <c r="I62" s="4">
        <v>18</v>
      </c>
      <c r="J62" s="4"/>
      <c r="K62" s="4">
        <v>3.6</v>
      </c>
      <c r="L62" s="4" t="b">
        <v>1</v>
      </c>
      <c r="M62" s="4">
        <v>5.2</v>
      </c>
      <c r="N62" s="4" t="b">
        <v>1</v>
      </c>
      <c r="O62" s="4" t="s">
        <v>698</v>
      </c>
      <c r="P62" s="4" t="s">
        <v>363</v>
      </c>
      <c r="Q62" s="4" t="s">
        <v>325</v>
      </c>
      <c r="R62" s="4" t="s">
        <v>329</v>
      </c>
      <c r="S62" s="4" t="s">
        <v>101</v>
      </c>
    </row>
    <row r="63" ht="30" customHeight="1" spans="1:19">
      <c r="A63" s="4" t="s">
        <v>699</v>
      </c>
      <c r="B63" s="4">
        <v>12</v>
      </c>
      <c r="C63" s="4" t="s">
        <v>106</v>
      </c>
      <c r="D63" s="4" t="s">
        <v>107</v>
      </c>
      <c r="E63" s="4" t="s">
        <v>27</v>
      </c>
      <c r="F63" s="4" t="s">
        <v>96</v>
      </c>
      <c r="G63" s="4" t="s">
        <v>365</v>
      </c>
      <c r="H63" s="4" t="s">
        <v>541</v>
      </c>
      <c r="I63" s="4">
        <v>18</v>
      </c>
      <c r="J63" s="4"/>
      <c r="K63" s="4">
        <v>22</v>
      </c>
      <c r="L63" s="4" t="b">
        <v>1</v>
      </c>
      <c r="M63" s="4">
        <v>29</v>
      </c>
      <c r="N63" s="4" t="b">
        <v>1</v>
      </c>
      <c r="O63" s="4" t="s">
        <v>700</v>
      </c>
      <c r="P63" s="4" t="s">
        <v>369</v>
      </c>
      <c r="Q63" s="4" t="s">
        <v>325</v>
      </c>
      <c r="R63" s="4" t="s">
        <v>329</v>
      </c>
      <c r="S63" s="4" t="s">
        <v>101</v>
      </c>
    </row>
    <row r="64" ht="30" customHeight="1" spans="1:19">
      <c r="A64" s="4" t="s">
        <v>701</v>
      </c>
      <c r="B64" s="4">
        <v>13</v>
      </c>
      <c r="C64" s="4" t="s">
        <v>110</v>
      </c>
      <c r="D64" s="4" t="s">
        <v>111</v>
      </c>
      <c r="E64" s="4" t="s">
        <v>48</v>
      </c>
      <c r="F64" s="4" t="s">
        <v>96</v>
      </c>
      <c r="G64" s="4" t="s">
        <v>365</v>
      </c>
      <c r="H64" s="4" t="s">
        <v>541</v>
      </c>
      <c r="I64" s="4">
        <v>18</v>
      </c>
      <c r="J64" s="4">
        <v>60</v>
      </c>
      <c r="K64" s="4">
        <v>8.6</v>
      </c>
      <c r="L64" s="4" t="b">
        <v>1</v>
      </c>
      <c r="M64" s="4">
        <v>10</v>
      </c>
      <c r="N64" s="4" t="b">
        <v>1</v>
      </c>
      <c r="O64" s="4" t="s">
        <v>702</v>
      </c>
      <c r="P64" s="4" t="s">
        <v>703</v>
      </c>
      <c r="Q64" s="4" t="s">
        <v>325</v>
      </c>
      <c r="R64" s="4" t="s">
        <v>329</v>
      </c>
      <c r="S64" s="4" t="s">
        <v>101</v>
      </c>
    </row>
    <row r="65" ht="30" customHeight="1" spans="1:19">
      <c r="A65" s="4" t="s">
        <v>704</v>
      </c>
      <c r="B65" s="4">
        <v>13</v>
      </c>
      <c r="C65" s="4" t="s">
        <v>110</v>
      </c>
      <c r="D65" s="4" t="s">
        <v>111</v>
      </c>
      <c r="E65" s="4" t="s">
        <v>48</v>
      </c>
      <c r="F65" s="4" t="s">
        <v>96</v>
      </c>
      <c r="G65" s="4" t="s">
        <v>365</v>
      </c>
      <c r="H65" s="4" t="s">
        <v>541</v>
      </c>
      <c r="I65" s="4">
        <v>60</v>
      </c>
      <c r="J65" s="4"/>
      <c r="K65" s="4">
        <v>8.8</v>
      </c>
      <c r="L65" s="4" t="b">
        <v>1</v>
      </c>
      <c r="M65" s="4">
        <v>10.2</v>
      </c>
      <c r="N65" s="4" t="b">
        <v>1</v>
      </c>
      <c r="O65" s="4" t="s">
        <v>705</v>
      </c>
      <c r="P65" s="4" t="s">
        <v>706</v>
      </c>
      <c r="Q65" s="4" t="s">
        <v>325</v>
      </c>
      <c r="R65" s="4" t="s">
        <v>329</v>
      </c>
      <c r="S65" s="4" t="s">
        <v>707</v>
      </c>
    </row>
    <row r="66" ht="30" customHeight="1" spans="1:19">
      <c r="A66" s="4" t="s">
        <v>708</v>
      </c>
      <c r="B66" s="4">
        <v>14</v>
      </c>
      <c r="C66" s="4" t="s">
        <v>114</v>
      </c>
      <c r="D66" s="4" t="s">
        <v>115</v>
      </c>
      <c r="E66" s="4" t="s">
        <v>78</v>
      </c>
      <c r="F66" s="4" t="s">
        <v>96</v>
      </c>
      <c r="G66" s="4" t="s">
        <v>365</v>
      </c>
      <c r="H66" s="4" t="s">
        <v>541</v>
      </c>
      <c r="I66" s="4">
        <v>18</v>
      </c>
      <c r="J66" s="4"/>
      <c r="K66" s="4">
        <v>6.3</v>
      </c>
      <c r="L66" s="4" t="b">
        <v>1</v>
      </c>
      <c r="M66" s="4">
        <v>7.9</v>
      </c>
      <c r="N66" s="4" t="b">
        <v>1</v>
      </c>
      <c r="O66" s="4" t="s">
        <v>709</v>
      </c>
      <c r="P66" s="4" t="s">
        <v>374</v>
      </c>
      <c r="Q66" s="4" t="s">
        <v>351</v>
      </c>
      <c r="R66" s="4" t="s">
        <v>353</v>
      </c>
      <c r="S66" s="4" t="s">
        <v>101</v>
      </c>
    </row>
    <row r="67" ht="30" customHeight="1" spans="1:19">
      <c r="A67" s="4" t="s">
        <v>710</v>
      </c>
      <c r="B67" s="4">
        <v>15</v>
      </c>
      <c r="C67" s="4" t="s">
        <v>118</v>
      </c>
      <c r="D67" s="4" t="s">
        <v>119</v>
      </c>
      <c r="E67" s="4" t="s">
        <v>120</v>
      </c>
      <c r="F67" s="4" t="s">
        <v>96</v>
      </c>
      <c r="G67" s="4" t="s">
        <v>365</v>
      </c>
      <c r="H67" s="4" t="s">
        <v>569</v>
      </c>
      <c r="I67" s="4">
        <v>18</v>
      </c>
      <c r="J67" s="4"/>
      <c r="K67" s="4">
        <v>7</v>
      </c>
      <c r="L67" s="4" t="b">
        <v>1</v>
      </c>
      <c r="M67" s="4">
        <v>55</v>
      </c>
      <c r="N67" s="4" t="b">
        <v>1</v>
      </c>
      <c r="O67" s="4" t="s">
        <v>711</v>
      </c>
      <c r="P67" s="4" t="s">
        <v>712</v>
      </c>
      <c r="Q67" s="4" t="s">
        <v>377</v>
      </c>
      <c r="R67" s="4" t="s">
        <v>379</v>
      </c>
      <c r="S67" s="4" t="s">
        <v>101</v>
      </c>
    </row>
    <row r="68" ht="30" customHeight="1" spans="1:19">
      <c r="A68" s="4" t="s">
        <v>713</v>
      </c>
      <c r="B68" s="4">
        <v>15</v>
      </c>
      <c r="C68" s="4" t="s">
        <v>118</v>
      </c>
      <c r="D68" s="4" t="s">
        <v>119</v>
      </c>
      <c r="E68" s="4" t="s">
        <v>120</v>
      </c>
      <c r="F68" s="4" t="s">
        <v>96</v>
      </c>
      <c r="G68" s="4" t="s">
        <v>365</v>
      </c>
      <c r="H68" s="4" t="s">
        <v>585</v>
      </c>
      <c r="I68" s="4">
        <v>18</v>
      </c>
      <c r="J68" s="4"/>
      <c r="K68" s="4">
        <v>7</v>
      </c>
      <c r="L68" s="4" t="b">
        <v>1</v>
      </c>
      <c r="M68" s="4">
        <v>45</v>
      </c>
      <c r="N68" s="4" t="b">
        <v>1</v>
      </c>
      <c r="O68" s="4" t="s">
        <v>714</v>
      </c>
      <c r="P68" s="4" t="s">
        <v>715</v>
      </c>
      <c r="Q68" s="4" t="s">
        <v>377</v>
      </c>
      <c r="R68" s="4" t="s">
        <v>379</v>
      </c>
      <c r="S68" s="4" t="s">
        <v>101</v>
      </c>
    </row>
    <row r="69" ht="30" customHeight="1" spans="1:19">
      <c r="A69" s="4" t="s">
        <v>716</v>
      </c>
      <c r="B69" s="4">
        <v>16</v>
      </c>
      <c r="C69" s="4" t="s">
        <v>127</v>
      </c>
      <c r="D69" s="4" t="s">
        <v>128</v>
      </c>
      <c r="E69" s="4" t="s">
        <v>120</v>
      </c>
      <c r="F69" s="4" t="s">
        <v>96</v>
      </c>
      <c r="G69" s="4" t="s">
        <v>365</v>
      </c>
      <c r="H69" s="4" t="s">
        <v>569</v>
      </c>
      <c r="I69" s="4">
        <v>18</v>
      </c>
      <c r="J69" s="4"/>
      <c r="K69" s="4">
        <v>8</v>
      </c>
      <c r="L69" s="4" t="b">
        <v>1</v>
      </c>
      <c r="M69" s="4">
        <v>48</v>
      </c>
      <c r="N69" s="4" t="b">
        <v>1</v>
      </c>
      <c r="O69" s="4" t="s">
        <v>717</v>
      </c>
      <c r="P69" s="4" t="s">
        <v>718</v>
      </c>
      <c r="Q69" s="4" t="s">
        <v>380</v>
      </c>
      <c r="R69" s="4" t="s">
        <v>382</v>
      </c>
      <c r="S69" s="4" t="s">
        <v>101</v>
      </c>
    </row>
    <row r="70" ht="30" customHeight="1" spans="1:19">
      <c r="A70" s="4" t="s">
        <v>719</v>
      </c>
      <c r="B70" s="4">
        <v>16</v>
      </c>
      <c r="C70" s="4" t="s">
        <v>127</v>
      </c>
      <c r="D70" s="4" t="s">
        <v>128</v>
      </c>
      <c r="E70" s="4" t="s">
        <v>120</v>
      </c>
      <c r="F70" s="4" t="s">
        <v>96</v>
      </c>
      <c r="G70" s="4" t="s">
        <v>365</v>
      </c>
      <c r="H70" s="4" t="s">
        <v>585</v>
      </c>
      <c r="I70" s="4">
        <v>18</v>
      </c>
      <c r="J70" s="4"/>
      <c r="K70" s="4">
        <v>8</v>
      </c>
      <c r="L70" s="4" t="b">
        <v>1</v>
      </c>
      <c r="M70" s="4">
        <v>43</v>
      </c>
      <c r="N70" s="4" t="b">
        <v>1</v>
      </c>
      <c r="O70" s="4" t="s">
        <v>720</v>
      </c>
      <c r="P70" s="4" t="s">
        <v>721</v>
      </c>
      <c r="Q70" s="4" t="s">
        <v>380</v>
      </c>
      <c r="R70" s="4" t="s">
        <v>382</v>
      </c>
      <c r="S70" s="4" t="s">
        <v>101</v>
      </c>
    </row>
    <row r="71" ht="30" customHeight="1" spans="1:19">
      <c r="A71" s="4" t="s">
        <v>722</v>
      </c>
      <c r="B71" s="4">
        <v>17</v>
      </c>
      <c r="C71" s="4" t="s">
        <v>131</v>
      </c>
      <c r="D71" s="4" t="s">
        <v>132</v>
      </c>
      <c r="E71" s="4" t="s">
        <v>120</v>
      </c>
      <c r="F71" s="4" t="s">
        <v>96</v>
      </c>
      <c r="G71" s="4" t="s">
        <v>365</v>
      </c>
      <c r="H71" s="4" t="s">
        <v>569</v>
      </c>
      <c r="I71" s="4">
        <v>18</v>
      </c>
      <c r="J71" s="4">
        <v>19</v>
      </c>
      <c r="K71" s="4">
        <v>55</v>
      </c>
      <c r="L71" s="4" t="b">
        <v>1</v>
      </c>
      <c r="M71" s="4">
        <v>149</v>
      </c>
      <c r="N71" s="4" t="b">
        <v>1</v>
      </c>
      <c r="O71" s="4" t="s">
        <v>723</v>
      </c>
      <c r="P71" s="4" t="s">
        <v>724</v>
      </c>
      <c r="Q71" s="4" t="s">
        <v>383</v>
      </c>
      <c r="R71" s="4" t="s">
        <v>385</v>
      </c>
      <c r="S71" s="4" t="s">
        <v>101</v>
      </c>
    </row>
    <row r="72" ht="30" customHeight="1" spans="1:19">
      <c r="A72" s="4" t="s">
        <v>725</v>
      </c>
      <c r="B72" s="4">
        <v>17</v>
      </c>
      <c r="C72" s="4" t="s">
        <v>131</v>
      </c>
      <c r="D72" s="4" t="s">
        <v>132</v>
      </c>
      <c r="E72" s="4" t="s">
        <v>120</v>
      </c>
      <c r="F72" s="4" t="s">
        <v>96</v>
      </c>
      <c r="G72" s="4" t="s">
        <v>365</v>
      </c>
      <c r="H72" s="4" t="s">
        <v>569</v>
      </c>
      <c r="I72" s="4">
        <v>19</v>
      </c>
      <c r="J72" s="4"/>
      <c r="K72" s="4">
        <v>40</v>
      </c>
      <c r="L72" s="4" t="b">
        <v>1</v>
      </c>
      <c r="M72" s="4">
        <v>129</v>
      </c>
      <c r="N72" s="4" t="b">
        <v>1</v>
      </c>
      <c r="O72" s="4" t="s">
        <v>726</v>
      </c>
      <c r="P72" s="4" t="s">
        <v>727</v>
      </c>
      <c r="Q72" s="4" t="s">
        <v>383</v>
      </c>
      <c r="R72" s="4" t="s">
        <v>385</v>
      </c>
      <c r="S72" s="4" t="s">
        <v>101</v>
      </c>
    </row>
    <row r="73" ht="30" customHeight="1" spans="1:19">
      <c r="A73" s="4" t="s">
        <v>728</v>
      </c>
      <c r="B73" s="4">
        <v>17</v>
      </c>
      <c r="C73" s="4" t="s">
        <v>131</v>
      </c>
      <c r="D73" s="4" t="s">
        <v>132</v>
      </c>
      <c r="E73" s="4" t="s">
        <v>120</v>
      </c>
      <c r="F73" s="4" t="s">
        <v>96</v>
      </c>
      <c r="G73" s="4" t="s">
        <v>365</v>
      </c>
      <c r="H73" s="4" t="s">
        <v>585</v>
      </c>
      <c r="I73" s="4">
        <v>18</v>
      </c>
      <c r="J73" s="4"/>
      <c r="K73" s="4">
        <v>35</v>
      </c>
      <c r="L73" s="4" t="b">
        <v>1</v>
      </c>
      <c r="M73" s="4">
        <v>104</v>
      </c>
      <c r="N73" s="4" t="b">
        <v>1</v>
      </c>
      <c r="O73" s="4" t="s">
        <v>729</v>
      </c>
      <c r="P73" s="4" t="s">
        <v>730</v>
      </c>
      <c r="Q73" s="4" t="s">
        <v>383</v>
      </c>
      <c r="R73" s="4" t="s">
        <v>385</v>
      </c>
      <c r="S73" s="4" t="s">
        <v>101</v>
      </c>
    </row>
    <row r="74" ht="30" customHeight="1" spans="1:19">
      <c r="A74" s="4" t="s">
        <v>731</v>
      </c>
      <c r="B74" s="4">
        <v>18</v>
      </c>
      <c r="C74" s="4" t="s">
        <v>135</v>
      </c>
      <c r="D74" s="4" t="s">
        <v>136</v>
      </c>
      <c r="E74" s="4" t="s">
        <v>120</v>
      </c>
      <c r="F74" s="4" t="s">
        <v>96</v>
      </c>
      <c r="G74" s="4" t="s">
        <v>365</v>
      </c>
      <c r="H74" s="4" t="s">
        <v>569</v>
      </c>
      <c r="I74" s="4">
        <v>18</v>
      </c>
      <c r="J74" s="4"/>
      <c r="K74" s="4">
        <v>8</v>
      </c>
      <c r="L74" s="4" t="b">
        <v>1</v>
      </c>
      <c r="M74" s="4">
        <v>61</v>
      </c>
      <c r="N74" s="4" t="b">
        <v>1</v>
      </c>
      <c r="O74" s="4" t="s">
        <v>732</v>
      </c>
      <c r="P74" s="4" t="s">
        <v>733</v>
      </c>
      <c r="Q74" s="4" t="s">
        <v>386</v>
      </c>
      <c r="R74" s="4" t="s">
        <v>388</v>
      </c>
      <c r="S74" s="4" t="s">
        <v>101</v>
      </c>
    </row>
    <row r="75" ht="30" customHeight="1" spans="1:19">
      <c r="A75" s="4" t="s">
        <v>734</v>
      </c>
      <c r="B75" s="4">
        <v>18</v>
      </c>
      <c r="C75" s="4" t="s">
        <v>135</v>
      </c>
      <c r="D75" s="4" t="s">
        <v>136</v>
      </c>
      <c r="E75" s="4" t="s">
        <v>120</v>
      </c>
      <c r="F75" s="4" t="s">
        <v>96</v>
      </c>
      <c r="G75" s="4" t="s">
        <v>365</v>
      </c>
      <c r="H75" s="4" t="s">
        <v>585</v>
      </c>
      <c r="I75" s="4">
        <v>18</v>
      </c>
      <c r="J75" s="4"/>
      <c r="K75" s="4">
        <v>5</v>
      </c>
      <c r="L75" s="4" t="b">
        <v>1</v>
      </c>
      <c r="M75" s="4">
        <v>36</v>
      </c>
      <c r="N75" s="4" t="b">
        <v>1</v>
      </c>
      <c r="O75" s="4" t="s">
        <v>735</v>
      </c>
      <c r="P75" s="4" t="s">
        <v>736</v>
      </c>
      <c r="Q75" s="4" t="s">
        <v>386</v>
      </c>
      <c r="R75" s="4" t="s">
        <v>388</v>
      </c>
      <c r="S75" s="4" t="s">
        <v>101</v>
      </c>
    </row>
    <row r="76" ht="30" customHeight="1" spans="1:19">
      <c r="A76" s="4" t="s">
        <v>737</v>
      </c>
      <c r="B76" s="4">
        <v>19</v>
      </c>
      <c r="C76" s="4" t="s">
        <v>139</v>
      </c>
      <c r="D76" s="4" t="s">
        <v>140</v>
      </c>
      <c r="E76" s="4" t="s">
        <v>48</v>
      </c>
      <c r="F76" s="4" t="s">
        <v>96</v>
      </c>
      <c r="G76" s="4" t="s">
        <v>365</v>
      </c>
      <c r="H76" s="4" t="s">
        <v>541</v>
      </c>
      <c r="I76" s="4">
        <v>18</v>
      </c>
      <c r="J76" s="4"/>
      <c r="K76" s="4">
        <v>0</v>
      </c>
      <c r="L76" s="4" t="b">
        <v>1</v>
      </c>
      <c r="M76" s="4">
        <v>1.2</v>
      </c>
      <c r="N76" s="4" t="b">
        <v>1</v>
      </c>
      <c r="O76" s="4" t="s">
        <v>738</v>
      </c>
      <c r="P76" s="4" t="s">
        <v>391</v>
      </c>
      <c r="Q76" s="4" t="s">
        <v>392</v>
      </c>
      <c r="R76" s="4" t="s">
        <v>394</v>
      </c>
      <c r="S76" s="4" t="s">
        <v>101</v>
      </c>
    </row>
    <row r="77" ht="30" customHeight="1" spans="1:19">
      <c r="A77" s="4" t="s">
        <v>739</v>
      </c>
      <c r="B77" s="4">
        <v>20</v>
      </c>
      <c r="C77" s="4" t="s">
        <v>143</v>
      </c>
      <c r="D77" s="4" t="s">
        <v>144</v>
      </c>
      <c r="E77" s="4" t="s">
        <v>48</v>
      </c>
      <c r="F77" s="4" t="s">
        <v>96</v>
      </c>
      <c r="G77" s="4" t="s">
        <v>365</v>
      </c>
      <c r="H77" s="4" t="s">
        <v>569</v>
      </c>
      <c r="I77" s="4">
        <v>18</v>
      </c>
      <c r="J77" s="4"/>
      <c r="K77" s="4">
        <v>3.7</v>
      </c>
      <c r="L77" s="4" t="b">
        <v>1</v>
      </c>
      <c r="M77" s="4">
        <v>8</v>
      </c>
      <c r="N77" s="4" t="b">
        <v>1</v>
      </c>
      <c r="O77" s="4" t="s">
        <v>740</v>
      </c>
      <c r="P77" s="4" t="s">
        <v>741</v>
      </c>
      <c r="Q77" s="4" t="s">
        <v>395</v>
      </c>
      <c r="R77" s="4" t="s">
        <v>397</v>
      </c>
      <c r="S77" s="4" t="s">
        <v>101</v>
      </c>
    </row>
    <row r="78" ht="30" customHeight="1" spans="1:19">
      <c r="A78" s="4" t="s">
        <v>742</v>
      </c>
      <c r="B78" s="4">
        <v>20</v>
      </c>
      <c r="C78" s="4" t="s">
        <v>143</v>
      </c>
      <c r="D78" s="4" t="s">
        <v>144</v>
      </c>
      <c r="E78" s="4" t="s">
        <v>48</v>
      </c>
      <c r="F78" s="4" t="s">
        <v>96</v>
      </c>
      <c r="G78" s="4" t="s">
        <v>365</v>
      </c>
      <c r="H78" s="4" t="s">
        <v>585</v>
      </c>
      <c r="I78" s="4">
        <v>18</v>
      </c>
      <c r="J78" s="4"/>
      <c r="K78" s="4">
        <v>2.7</v>
      </c>
      <c r="L78" s="4" t="b">
        <v>1</v>
      </c>
      <c r="M78" s="4">
        <v>6.1</v>
      </c>
      <c r="N78" s="4" t="b">
        <v>1</v>
      </c>
      <c r="O78" s="4" t="s">
        <v>743</v>
      </c>
      <c r="P78" s="4" t="s">
        <v>744</v>
      </c>
      <c r="Q78" s="4" t="s">
        <v>395</v>
      </c>
      <c r="R78" s="4" t="s">
        <v>397</v>
      </c>
      <c r="S78" s="4" t="s">
        <v>101</v>
      </c>
    </row>
    <row r="79" ht="30" customHeight="1" spans="1:19">
      <c r="A79" s="5" t="s">
        <v>745</v>
      </c>
      <c r="B79" s="5">
        <v>21</v>
      </c>
      <c r="C79" s="5" t="s">
        <v>148</v>
      </c>
      <c r="D79" s="5" t="s">
        <v>149</v>
      </c>
      <c r="E79" s="5" t="s">
        <v>150</v>
      </c>
      <c r="F79" s="5" t="s">
        <v>147</v>
      </c>
      <c r="G79" s="5" t="s">
        <v>365</v>
      </c>
      <c r="H79" s="5" t="s">
        <v>569</v>
      </c>
      <c r="I79" s="5">
        <v>18</v>
      </c>
      <c r="J79" s="5"/>
      <c r="K79" s="5">
        <v>39</v>
      </c>
      <c r="L79" s="5" t="b">
        <v>1</v>
      </c>
      <c r="M79" s="5">
        <v>308</v>
      </c>
      <c r="N79" s="5" t="b">
        <v>1</v>
      </c>
      <c r="O79" s="5" t="s">
        <v>746</v>
      </c>
      <c r="P79" s="5" t="s">
        <v>747</v>
      </c>
      <c r="Q79" s="5" t="s">
        <v>398</v>
      </c>
      <c r="R79" s="5" t="s">
        <v>400</v>
      </c>
      <c r="S79" s="5" t="s">
        <v>101</v>
      </c>
    </row>
    <row r="80" ht="30" customHeight="1" spans="1:19">
      <c r="A80" s="5" t="s">
        <v>748</v>
      </c>
      <c r="B80" s="5">
        <v>21</v>
      </c>
      <c r="C80" s="5" t="s">
        <v>148</v>
      </c>
      <c r="D80" s="5" t="s">
        <v>149</v>
      </c>
      <c r="E80" s="5" t="s">
        <v>150</v>
      </c>
      <c r="F80" s="5" t="s">
        <v>147</v>
      </c>
      <c r="G80" s="5" t="s">
        <v>365</v>
      </c>
      <c r="H80" s="5" t="s">
        <v>585</v>
      </c>
      <c r="I80" s="5">
        <v>18</v>
      </c>
      <c r="J80" s="5"/>
      <c r="K80" s="5">
        <v>26</v>
      </c>
      <c r="L80" s="5" t="b">
        <v>1</v>
      </c>
      <c r="M80" s="5">
        <v>192</v>
      </c>
      <c r="N80" s="5" t="b">
        <v>1</v>
      </c>
      <c r="O80" s="5" t="s">
        <v>749</v>
      </c>
      <c r="P80" s="5" t="s">
        <v>750</v>
      </c>
      <c r="Q80" s="5" t="s">
        <v>398</v>
      </c>
      <c r="R80" s="5" t="s">
        <v>400</v>
      </c>
      <c r="S80" s="5" t="s">
        <v>101</v>
      </c>
    </row>
    <row r="81" ht="30" customHeight="1" spans="1:19">
      <c r="A81" s="5" t="s">
        <v>751</v>
      </c>
      <c r="B81" s="5">
        <v>22</v>
      </c>
      <c r="C81" s="5" t="s">
        <v>153</v>
      </c>
      <c r="D81" s="5" t="s">
        <v>154</v>
      </c>
      <c r="E81" s="5" t="s">
        <v>150</v>
      </c>
      <c r="F81" s="5" t="s">
        <v>147</v>
      </c>
      <c r="G81" s="5" t="s">
        <v>365</v>
      </c>
      <c r="H81" s="5" t="s">
        <v>541</v>
      </c>
      <c r="I81" s="5">
        <v>18</v>
      </c>
      <c r="J81" s="5"/>
      <c r="K81" s="5">
        <v>122</v>
      </c>
      <c r="L81" s="5" t="b">
        <v>1</v>
      </c>
      <c r="M81" s="5">
        <v>222</v>
      </c>
      <c r="N81" s="5" t="b">
        <v>1</v>
      </c>
      <c r="O81" s="5" t="s">
        <v>752</v>
      </c>
      <c r="P81" s="5" t="s">
        <v>403</v>
      </c>
      <c r="Q81" s="5" t="s">
        <v>404</v>
      </c>
      <c r="R81" s="5" t="s">
        <v>406</v>
      </c>
      <c r="S81" s="5" t="s">
        <v>101</v>
      </c>
    </row>
    <row r="82" ht="30" customHeight="1" spans="1:19">
      <c r="A82" s="5" t="s">
        <v>753</v>
      </c>
      <c r="B82" s="5">
        <v>23</v>
      </c>
      <c r="C82" s="5" t="s">
        <v>157</v>
      </c>
      <c r="D82" s="5" t="s">
        <v>158</v>
      </c>
      <c r="E82" s="5" t="s">
        <v>159</v>
      </c>
      <c r="F82" s="5" t="s">
        <v>147</v>
      </c>
      <c r="G82" s="5" t="s">
        <v>365</v>
      </c>
      <c r="H82" s="5" t="s">
        <v>569</v>
      </c>
      <c r="I82" s="5">
        <v>18</v>
      </c>
      <c r="J82" s="5"/>
      <c r="K82" s="5">
        <v>50</v>
      </c>
      <c r="L82" s="5" t="b">
        <v>1</v>
      </c>
      <c r="M82" s="5">
        <v>150</v>
      </c>
      <c r="N82" s="5" t="b">
        <v>1</v>
      </c>
      <c r="O82" s="5" t="s">
        <v>754</v>
      </c>
      <c r="P82" s="5" t="s">
        <v>755</v>
      </c>
      <c r="Q82" s="5" t="s">
        <v>407</v>
      </c>
      <c r="R82" s="5" t="s">
        <v>409</v>
      </c>
      <c r="S82" s="5" t="s">
        <v>101</v>
      </c>
    </row>
    <row r="83" ht="30" customHeight="1" spans="1:19">
      <c r="A83" s="5" t="s">
        <v>756</v>
      </c>
      <c r="B83" s="5">
        <v>23</v>
      </c>
      <c r="C83" s="5" t="s">
        <v>157</v>
      </c>
      <c r="D83" s="5" t="s">
        <v>158</v>
      </c>
      <c r="E83" s="5" t="s">
        <v>159</v>
      </c>
      <c r="F83" s="5" t="s">
        <v>147</v>
      </c>
      <c r="G83" s="5" t="s">
        <v>365</v>
      </c>
      <c r="H83" s="5" t="s">
        <v>585</v>
      </c>
      <c r="I83" s="5">
        <v>18</v>
      </c>
      <c r="J83" s="5"/>
      <c r="K83" s="5">
        <v>35</v>
      </c>
      <c r="L83" s="5" t="b">
        <v>1</v>
      </c>
      <c r="M83" s="5">
        <v>145</v>
      </c>
      <c r="N83" s="5" t="b">
        <v>1</v>
      </c>
      <c r="O83" s="5" t="s">
        <v>757</v>
      </c>
      <c r="P83" s="5" t="s">
        <v>758</v>
      </c>
      <c r="Q83" s="5" t="s">
        <v>407</v>
      </c>
      <c r="R83" s="5" t="s">
        <v>409</v>
      </c>
      <c r="S83" s="5" t="s">
        <v>101</v>
      </c>
    </row>
    <row r="84" ht="30" customHeight="1" spans="1:19">
      <c r="A84" s="5" t="s">
        <v>759</v>
      </c>
      <c r="B84" s="5">
        <v>24</v>
      </c>
      <c r="C84" s="5" t="s">
        <v>166</v>
      </c>
      <c r="D84" s="5" t="s">
        <v>168</v>
      </c>
      <c r="E84" s="5" t="s">
        <v>48</v>
      </c>
      <c r="F84" s="5" t="s">
        <v>147</v>
      </c>
      <c r="G84" s="5" t="s">
        <v>365</v>
      </c>
      <c r="H84" s="5" t="s">
        <v>541</v>
      </c>
      <c r="I84" s="5">
        <v>18</v>
      </c>
      <c r="J84" s="5"/>
      <c r="K84" s="5"/>
      <c r="L84" s="5" t="b">
        <v>1</v>
      </c>
      <c r="M84" s="5">
        <v>200</v>
      </c>
      <c r="N84" s="5" t="b">
        <v>0</v>
      </c>
      <c r="O84" s="5" t="s">
        <v>760</v>
      </c>
      <c r="P84" s="5" t="s">
        <v>412</v>
      </c>
      <c r="Q84" s="5" t="s">
        <v>413</v>
      </c>
      <c r="R84" s="5" t="s">
        <v>415</v>
      </c>
      <c r="S84" s="5" t="s">
        <v>761</v>
      </c>
    </row>
    <row r="85" ht="30" customHeight="1" spans="1:19">
      <c r="A85" s="5" t="s">
        <v>762</v>
      </c>
      <c r="B85" s="5">
        <v>25</v>
      </c>
      <c r="C85" s="5" t="s">
        <v>176</v>
      </c>
      <c r="D85" s="5" t="s">
        <v>178</v>
      </c>
      <c r="E85" s="5" t="s">
        <v>48</v>
      </c>
      <c r="F85" s="5" t="s">
        <v>147</v>
      </c>
      <c r="G85" s="5" t="s">
        <v>365</v>
      </c>
      <c r="H85" s="5" t="s">
        <v>569</v>
      </c>
      <c r="I85" s="5">
        <v>18</v>
      </c>
      <c r="J85" s="5"/>
      <c r="K85" s="5">
        <v>40</v>
      </c>
      <c r="L85" s="5" t="b">
        <v>1</v>
      </c>
      <c r="M85" s="5"/>
      <c r="N85" s="5" t="b">
        <v>1</v>
      </c>
      <c r="O85" s="5" t="s">
        <v>763</v>
      </c>
      <c r="P85" s="5" t="s">
        <v>764</v>
      </c>
      <c r="Q85" s="5" t="s">
        <v>413</v>
      </c>
      <c r="R85" s="5" t="s">
        <v>415</v>
      </c>
      <c r="S85" s="5" t="s">
        <v>101</v>
      </c>
    </row>
    <row r="86" ht="30" customHeight="1" spans="1:19">
      <c r="A86" s="5" t="s">
        <v>765</v>
      </c>
      <c r="B86" s="5">
        <v>25</v>
      </c>
      <c r="C86" s="5" t="s">
        <v>176</v>
      </c>
      <c r="D86" s="5" t="s">
        <v>178</v>
      </c>
      <c r="E86" s="5" t="s">
        <v>48</v>
      </c>
      <c r="F86" s="5" t="s">
        <v>147</v>
      </c>
      <c r="G86" s="5" t="s">
        <v>365</v>
      </c>
      <c r="H86" s="5" t="s">
        <v>585</v>
      </c>
      <c r="I86" s="5">
        <v>18</v>
      </c>
      <c r="J86" s="5"/>
      <c r="K86" s="5">
        <v>50</v>
      </c>
      <c r="L86" s="5" t="b">
        <v>1</v>
      </c>
      <c r="M86" s="5"/>
      <c r="N86" s="5" t="b">
        <v>1</v>
      </c>
      <c r="O86" s="5" t="s">
        <v>766</v>
      </c>
      <c r="P86" s="5" t="s">
        <v>767</v>
      </c>
      <c r="Q86" s="5" t="s">
        <v>413</v>
      </c>
      <c r="R86" s="5" t="s">
        <v>415</v>
      </c>
      <c r="S86" s="5" t="s">
        <v>101</v>
      </c>
    </row>
    <row r="87" ht="30" customHeight="1" spans="1:19">
      <c r="A87" s="5" t="s">
        <v>768</v>
      </c>
      <c r="B87" s="5">
        <v>26</v>
      </c>
      <c r="C87" s="5" t="s">
        <v>182</v>
      </c>
      <c r="D87" s="5" t="s">
        <v>183</v>
      </c>
      <c r="E87" s="5" t="s">
        <v>93</v>
      </c>
      <c r="F87" s="5" t="s">
        <v>147</v>
      </c>
      <c r="G87" s="5" t="s">
        <v>365</v>
      </c>
      <c r="H87" s="5" t="s">
        <v>569</v>
      </c>
      <c r="I87" s="5">
        <v>18</v>
      </c>
      <c r="J87" s="5"/>
      <c r="K87" s="5">
        <v>3.6</v>
      </c>
      <c r="L87" s="5" t="b">
        <v>1</v>
      </c>
      <c r="M87" s="5">
        <v>10.2</v>
      </c>
      <c r="N87" s="5" t="b">
        <v>1</v>
      </c>
      <c r="O87" s="5" t="s">
        <v>769</v>
      </c>
      <c r="P87" s="5" t="s">
        <v>770</v>
      </c>
      <c r="Q87" s="5" t="s">
        <v>417</v>
      </c>
      <c r="R87" s="5" t="s">
        <v>420</v>
      </c>
      <c r="S87" s="5" t="s">
        <v>771</v>
      </c>
    </row>
    <row r="88" ht="30" customHeight="1" spans="1:19">
      <c r="A88" s="5" t="s">
        <v>772</v>
      </c>
      <c r="B88" s="5">
        <v>26</v>
      </c>
      <c r="C88" s="5" t="s">
        <v>182</v>
      </c>
      <c r="D88" s="5" t="s">
        <v>183</v>
      </c>
      <c r="E88" s="5" t="s">
        <v>93</v>
      </c>
      <c r="F88" s="5" t="s">
        <v>147</v>
      </c>
      <c r="G88" s="5" t="s">
        <v>365</v>
      </c>
      <c r="H88" s="5" t="s">
        <v>585</v>
      </c>
      <c r="I88" s="5">
        <v>18</v>
      </c>
      <c r="J88" s="5"/>
      <c r="K88" s="5">
        <v>3.8</v>
      </c>
      <c r="L88" s="5" t="b">
        <v>1</v>
      </c>
      <c r="M88" s="5">
        <v>11.8</v>
      </c>
      <c r="N88" s="5" t="b">
        <v>1</v>
      </c>
      <c r="O88" s="5" t="s">
        <v>773</v>
      </c>
      <c r="P88" s="5" t="s">
        <v>774</v>
      </c>
      <c r="Q88" s="5" t="s">
        <v>417</v>
      </c>
      <c r="R88" s="5" t="s">
        <v>420</v>
      </c>
      <c r="S88" s="5" t="s">
        <v>771</v>
      </c>
    </row>
    <row r="89" ht="30" customHeight="1" spans="1:19">
      <c r="A89" s="5" t="s">
        <v>775</v>
      </c>
      <c r="B89" s="5">
        <v>27</v>
      </c>
      <c r="C89" s="5" t="s">
        <v>190</v>
      </c>
      <c r="D89" s="5" t="s">
        <v>191</v>
      </c>
      <c r="E89" s="5" t="s">
        <v>192</v>
      </c>
      <c r="F89" s="5" t="s">
        <v>147</v>
      </c>
      <c r="G89" s="5" t="s">
        <v>365</v>
      </c>
      <c r="H89" s="5" t="s">
        <v>569</v>
      </c>
      <c r="I89" s="5">
        <v>18</v>
      </c>
      <c r="J89" s="5"/>
      <c r="K89" s="5">
        <v>15.2</v>
      </c>
      <c r="L89" s="5" t="b">
        <v>1</v>
      </c>
      <c r="M89" s="5">
        <v>43.3</v>
      </c>
      <c r="N89" s="5" t="b">
        <v>1</v>
      </c>
      <c r="O89" s="5" t="s">
        <v>776</v>
      </c>
      <c r="P89" s="5" t="s">
        <v>777</v>
      </c>
      <c r="Q89" s="5" t="s">
        <v>417</v>
      </c>
      <c r="R89" s="5" t="s">
        <v>420</v>
      </c>
      <c r="S89" s="5" t="s">
        <v>771</v>
      </c>
    </row>
    <row r="90" ht="30" customHeight="1" spans="1:19">
      <c r="A90" s="5" t="s">
        <v>778</v>
      </c>
      <c r="B90" s="5">
        <v>27</v>
      </c>
      <c r="C90" s="5" t="s">
        <v>190</v>
      </c>
      <c r="D90" s="5" t="s">
        <v>191</v>
      </c>
      <c r="E90" s="5" t="s">
        <v>192</v>
      </c>
      <c r="F90" s="5" t="s">
        <v>147</v>
      </c>
      <c r="G90" s="5" t="s">
        <v>365</v>
      </c>
      <c r="H90" s="5" t="s">
        <v>585</v>
      </c>
      <c r="I90" s="5">
        <v>18</v>
      </c>
      <c r="J90" s="5"/>
      <c r="K90" s="5">
        <v>16</v>
      </c>
      <c r="L90" s="5" t="b">
        <v>1</v>
      </c>
      <c r="M90" s="5">
        <v>45.9</v>
      </c>
      <c r="N90" s="5" t="b">
        <v>1</v>
      </c>
      <c r="O90" s="5" t="s">
        <v>779</v>
      </c>
      <c r="P90" s="5" t="s">
        <v>780</v>
      </c>
      <c r="Q90" s="5" t="s">
        <v>417</v>
      </c>
      <c r="R90" s="5" t="s">
        <v>420</v>
      </c>
      <c r="S90" s="5" t="s">
        <v>771</v>
      </c>
    </row>
    <row r="91" ht="30" customHeight="1" spans="1:19">
      <c r="A91" s="5" t="s">
        <v>781</v>
      </c>
      <c r="B91" s="5">
        <v>28</v>
      </c>
      <c r="C91" s="5" t="s">
        <v>195</v>
      </c>
      <c r="D91" s="5" t="s">
        <v>196</v>
      </c>
      <c r="E91" s="5" t="s">
        <v>192</v>
      </c>
      <c r="F91" s="5" t="s">
        <v>147</v>
      </c>
      <c r="G91" s="5" t="s">
        <v>365</v>
      </c>
      <c r="H91" s="5" t="s">
        <v>569</v>
      </c>
      <c r="I91" s="5">
        <v>18</v>
      </c>
      <c r="J91" s="5"/>
      <c r="K91" s="5">
        <v>5.5</v>
      </c>
      <c r="L91" s="5" t="b">
        <v>1</v>
      </c>
      <c r="M91" s="5">
        <v>13.7</v>
      </c>
      <c r="N91" s="5" t="b">
        <v>1</v>
      </c>
      <c r="O91" s="5" t="s">
        <v>782</v>
      </c>
      <c r="P91" s="5" t="s">
        <v>783</v>
      </c>
      <c r="Q91" s="5" t="s">
        <v>417</v>
      </c>
      <c r="R91" s="5" t="s">
        <v>420</v>
      </c>
      <c r="S91" s="5" t="s">
        <v>771</v>
      </c>
    </row>
    <row r="92" ht="30" customHeight="1" spans="1:19">
      <c r="A92" s="5" t="s">
        <v>784</v>
      </c>
      <c r="B92" s="5">
        <v>28</v>
      </c>
      <c r="C92" s="5" t="s">
        <v>195</v>
      </c>
      <c r="D92" s="5" t="s">
        <v>196</v>
      </c>
      <c r="E92" s="5" t="s">
        <v>192</v>
      </c>
      <c r="F92" s="5" t="s">
        <v>147</v>
      </c>
      <c r="G92" s="5" t="s">
        <v>365</v>
      </c>
      <c r="H92" s="5" t="s">
        <v>585</v>
      </c>
      <c r="I92" s="5">
        <v>18</v>
      </c>
      <c r="J92" s="5"/>
      <c r="K92" s="5">
        <v>4.3</v>
      </c>
      <c r="L92" s="5" t="b">
        <v>1</v>
      </c>
      <c r="M92" s="5">
        <v>10.9</v>
      </c>
      <c r="N92" s="5" t="b">
        <v>1</v>
      </c>
      <c r="O92" s="5" t="s">
        <v>785</v>
      </c>
      <c r="P92" s="5" t="s">
        <v>786</v>
      </c>
      <c r="Q92" s="5" t="s">
        <v>417</v>
      </c>
      <c r="R92" s="5" t="s">
        <v>420</v>
      </c>
      <c r="S92" s="5" t="s">
        <v>771</v>
      </c>
    </row>
    <row r="93" ht="30" customHeight="1" spans="1:19">
      <c r="A93" s="5" t="s">
        <v>787</v>
      </c>
      <c r="B93" s="5">
        <v>29</v>
      </c>
      <c r="C93" s="5" t="s">
        <v>199</v>
      </c>
      <c r="D93" s="5" t="s">
        <v>200</v>
      </c>
      <c r="E93" s="5" t="s">
        <v>192</v>
      </c>
      <c r="F93" s="5" t="s">
        <v>147</v>
      </c>
      <c r="G93" s="5" t="s">
        <v>365</v>
      </c>
      <c r="H93" s="5" t="s">
        <v>569</v>
      </c>
      <c r="I93" s="5">
        <v>18</v>
      </c>
      <c r="J93" s="5"/>
      <c r="K93" s="5">
        <v>43.5</v>
      </c>
      <c r="L93" s="5" t="b">
        <v>1</v>
      </c>
      <c r="M93" s="5">
        <v>73.5</v>
      </c>
      <c r="N93" s="5" t="b">
        <v>1</v>
      </c>
      <c r="O93" s="5" t="s">
        <v>788</v>
      </c>
      <c r="P93" s="5" t="s">
        <v>789</v>
      </c>
      <c r="Q93" s="5" t="s">
        <v>417</v>
      </c>
      <c r="R93" s="5" t="s">
        <v>420</v>
      </c>
      <c r="S93" s="5" t="s">
        <v>771</v>
      </c>
    </row>
    <row r="94" ht="30" customHeight="1" spans="1:19">
      <c r="A94" s="5" t="s">
        <v>790</v>
      </c>
      <c r="B94" s="5">
        <v>29</v>
      </c>
      <c r="C94" s="5" t="s">
        <v>199</v>
      </c>
      <c r="D94" s="5" t="s">
        <v>200</v>
      </c>
      <c r="E94" s="5" t="s">
        <v>192</v>
      </c>
      <c r="F94" s="5" t="s">
        <v>147</v>
      </c>
      <c r="G94" s="5" t="s">
        <v>365</v>
      </c>
      <c r="H94" s="5" t="s">
        <v>585</v>
      </c>
      <c r="I94" s="5">
        <v>18</v>
      </c>
      <c r="J94" s="5"/>
      <c r="K94" s="5">
        <v>42.7</v>
      </c>
      <c r="L94" s="5" t="b">
        <v>1</v>
      </c>
      <c r="M94" s="5">
        <v>76.8</v>
      </c>
      <c r="N94" s="5" t="b">
        <v>1</v>
      </c>
      <c r="O94" s="5" t="s">
        <v>791</v>
      </c>
      <c r="P94" s="5" t="s">
        <v>792</v>
      </c>
      <c r="Q94" s="5" t="s">
        <v>417</v>
      </c>
      <c r="R94" s="5" t="s">
        <v>420</v>
      </c>
      <c r="S94" s="5" t="s">
        <v>771</v>
      </c>
    </row>
    <row r="95" ht="30" customHeight="1" spans="1:19">
      <c r="A95" s="5" t="s">
        <v>793</v>
      </c>
      <c r="B95" s="5">
        <v>30</v>
      </c>
      <c r="C95" s="5" t="s">
        <v>203</v>
      </c>
      <c r="D95" s="5" t="s">
        <v>204</v>
      </c>
      <c r="E95" s="5" t="s">
        <v>192</v>
      </c>
      <c r="F95" s="5" t="s">
        <v>147</v>
      </c>
      <c r="G95" s="5" t="s">
        <v>365</v>
      </c>
      <c r="H95" s="5" t="s">
        <v>569</v>
      </c>
      <c r="I95" s="5">
        <v>18</v>
      </c>
      <c r="J95" s="5"/>
      <c r="K95" s="5">
        <v>0.8</v>
      </c>
      <c r="L95" s="5" t="b">
        <v>1</v>
      </c>
      <c r="M95" s="5">
        <v>8.1</v>
      </c>
      <c r="N95" s="5" t="b">
        <v>1</v>
      </c>
      <c r="O95" s="5" t="s">
        <v>794</v>
      </c>
      <c r="P95" s="5" t="s">
        <v>795</v>
      </c>
      <c r="Q95" s="5" t="s">
        <v>417</v>
      </c>
      <c r="R95" s="5" t="s">
        <v>420</v>
      </c>
      <c r="S95" s="5" t="s">
        <v>771</v>
      </c>
    </row>
    <row r="96" ht="30" customHeight="1" spans="1:19">
      <c r="A96" s="5" t="s">
        <v>796</v>
      </c>
      <c r="B96" s="5">
        <v>30</v>
      </c>
      <c r="C96" s="5" t="s">
        <v>203</v>
      </c>
      <c r="D96" s="5" t="s">
        <v>204</v>
      </c>
      <c r="E96" s="5" t="s">
        <v>192</v>
      </c>
      <c r="F96" s="5" t="s">
        <v>147</v>
      </c>
      <c r="G96" s="5" t="s">
        <v>365</v>
      </c>
      <c r="H96" s="5" t="s">
        <v>585</v>
      </c>
      <c r="I96" s="5">
        <v>18</v>
      </c>
      <c r="J96" s="5"/>
      <c r="K96" s="5">
        <v>0.5</v>
      </c>
      <c r="L96" s="5" t="b">
        <v>1</v>
      </c>
      <c r="M96" s="5">
        <v>7</v>
      </c>
      <c r="N96" s="5" t="b">
        <v>1</v>
      </c>
      <c r="O96" s="5" t="s">
        <v>797</v>
      </c>
      <c r="P96" s="5" t="s">
        <v>798</v>
      </c>
      <c r="Q96" s="5" t="s">
        <v>417</v>
      </c>
      <c r="R96" s="5" t="s">
        <v>420</v>
      </c>
      <c r="S96" s="5" t="s">
        <v>771</v>
      </c>
    </row>
    <row r="97" ht="30" customHeight="1" spans="1:19">
      <c r="A97" s="5" t="s">
        <v>799</v>
      </c>
      <c r="B97" s="5">
        <v>31</v>
      </c>
      <c r="C97" s="5" t="s">
        <v>207</v>
      </c>
      <c r="D97" s="5" t="s">
        <v>208</v>
      </c>
      <c r="E97" s="5" t="s">
        <v>192</v>
      </c>
      <c r="F97" s="5" t="s">
        <v>147</v>
      </c>
      <c r="G97" s="5" t="s">
        <v>365</v>
      </c>
      <c r="H97" s="5" t="s">
        <v>569</v>
      </c>
      <c r="I97" s="5">
        <v>18</v>
      </c>
      <c r="J97" s="5"/>
      <c r="K97" s="5">
        <v>0.2</v>
      </c>
      <c r="L97" s="5" t="b">
        <v>1</v>
      </c>
      <c r="M97" s="5">
        <v>1.5</v>
      </c>
      <c r="N97" s="5" t="b">
        <v>1</v>
      </c>
      <c r="O97" s="5" t="s">
        <v>800</v>
      </c>
      <c r="P97" s="5" t="s">
        <v>801</v>
      </c>
      <c r="Q97" s="5" t="s">
        <v>417</v>
      </c>
      <c r="R97" s="5" t="s">
        <v>420</v>
      </c>
      <c r="S97" s="5" t="s">
        <v>771</v>
      </c>
    </row>
    <row r="98" ht="30" customHeight="1" spans="1:19">
      <c r="A98" s="5" t="s">
        <v>802</v>
      </c>
      <c r="B98" s="5">
        <v>31</v>
      </c>
      <c r="C98" s="5" t="s">
        <v>207</v>
      </c>
      <c r="D98" s="5" t="s">
        <v>208</v>
      </c>
      <c r="E98" s="5" t="s">
        <v>192</v>
      </c>
      <c r="F98" s="5" t="s">
        <v>147</v>
      </c>
      <c r="G98" s="5" t="s">
        <v>365</v>
      </c>
      <c r="H98" s="5" t="s">
        <v>585</v>
      </c>
      <c r="I98" s="5">
        <v>18</v>
      </c>
      <c r="J98" s="5"/>
      <c r="K98" s="5">
        <v>0.2</v>
      </c>
      <c r="L98" s="5" t="b">
        <v>1</v>
      </c>
      <c r="M98" s="5">
        <v>1.3</v>
      </c>
      <c r="N98" s="5" t="b">
        <v>1</v>
      </c>
      <c r="O98" s="5" t="s">
        <v>803</v>
      </c>
      <c r="P98" s="5" t="s">
        <v>804</v>
      </c>
      <c r="Q98" s="5" t="s">
        <v>417</v>
      </c>
      <c r="R98" s="5" t="s">
        <v>420</v>
      </c>
      <c r="S98" s="5" t="s">
        <v>771</v>
      </c>
    </row>
    <row r="99" ht="30" customHeight="1" spans="1:19">
      <c r="A99" s="5" t="s">
        <v>805</v>
      </c>
      <c r="B99" s="5">
        <v>32</v>
      </c>
      <c r="C99" s="5" t="s">
        <v>211</v>
      </c>
      <c r="D99" s="5" t="s">
        <v>212</v>
      </c>
      <c r="E99" s="5" t="s">
        <v>213</v>
      </c>
      <c r="F99" s="5" t="s">
        <v>147</v>
      </c>
      <c r="G99" s="5" t="s">
        <v>365</v>
      </c>
      <c r="H99" s="5" t="s">
        <v>569</v>
      </c>
      <c r="I99" s="5">
        <v>18</v>
      </c>
      <c r="J99" s="5"/>
      <c r="K99" s="5">
        <v>4.06</v>
      </c>
      <c r="L99" s="5" t="b">
        <v>1</v>
      </c>
      <c r="M99" s="5">
        <v>5.63</v>
      </c>
      <c r="N99" s="5" t="b">
        <v>1</v>
      </c>
      <c r="O99" s="5" t="s">
        <v>806</v>
      </c>
      <c r="P99" s="5" t="s">
        <v>807</v>
      </c>
      <c r="Q99" s="5" t="s">
        <v>417</v>
      </c>
      <c r="R99" s="5" t="s">
        <v>420</v>
      </c>
      <c r="S99" s="5" t="s">
        <v>771</v>
      </c>
    </row>
    <row r="100" ht="30" customHeight="1" spans="1:19">
      <c r="A100" s="5" t="s">
        <v>808</v>
      </c>
      <c r="B100" s="5">
        <v>32</v>
      </c>
      <c r="C100" s="5" t="s">
        <v>211</v>
      </c>
      <c r="D100" s="5" t="s">
        <v>212</v>
      </c>
      <c r="E100" s="5" t="s">
        <v>213</v>
      </c>
      <c r="F100" s="5" t="s">
        <v>147</v>
      </c>
      <c r="G100" s="5" t="s">
        <v>365</v>
      </c>
      <c r="H100" s="5" t="s">
        <v>585</v>
      </c>
      <c r="I100" s="5">
        <v>18</v>
      </c>
      <c r="J100" s="5"/>
      <c r="K100" s="5">
        <v>3.63</v>
      </c>
      <c r="L100" s="5" t="b">
        <v>1</v>
      </c>
      <c r="M100" s="5">
        <v>4.92</v>
      </c>
      <c r="N100" s="5" t="b">
        <v>1</v>
      </c>
      <c r="O100" s="5" t="s">
        <v>809</v>
      </c>
      <c r="P100" s="5" t="s">
        <v>810</v>
      </c>
      <c r="Q100" s="5" t="s">
        <v>417</v>
      </c>
      <c r="R100" s="5" t="s">
        <v>420</v>
      </c>
      <c r="S100" s="5" t="s">
        <v>771</v>
      </c>
    </row>
    <row r="101" ht="30" customHeight="1" spans="1:19">
      <c r="A101" s="5" t="s">
        <v>811</v>
      </c>
      <c r="B101" s="5">
        <v>33</v>
      </c>
      <c r="C101" s="5" t="s">
        <v>220</v>
      </c>
      <c r="D101" s="5" t="s">
        <v>221</v>
      </c>
      <c r="E101" s="5" t="s">
        <v>192</v>
      </c>
      <c r="F101" s="5" t="s">
        <v>147</v>
      </c>
      <c r="G101" s="5" t="s">
        <v>365</v>
      </c>
      <c r="H101" s="5" t="s">
        <v>569</v>
      </c>
      <c r="I101" s="5">
        <v>18</v>
      </c>
      <c r="J101" s="5"/>
      <c r="K101" s="5">
        <v>36.7</v>
      </c>
      <c r="L101" s="5" t="b">
        <v>1</v>
      </c>
      <c r="M101" s="5">
        <v>47.1</v>
      </c>
      <c r="N101" s="5" t="b">
        <v>1</v>
      </c>
      <c r="O101" s="5" t="s">
        <v>812</v>
      </c>
      <c r="P101" s="5" t="s">
        <v>813</v>
      </c>
      <c r="Q101" s="5" t="s">
        <v>417</v>
      </c>
      <c r="R101" s="5" t="s">
        <v>420</v>
      </c>
      <c r="S101" s="5" t="s">
        <v>771</v>
      </c>
    </row>
    <row r="102" ht="30" customHeight="1" spans="1:19">
      <c r="A102" s="5" t="s">
        <v>814</v>
      </c>
      <c r="B102" s="5">
        <v>33</v>
      </c>
      <c r="C102" s="5" t="s">
        <v>220</v>
      </c>
      <c r="D102" s="5" t="s">
        <v>221</v>
      </c>
      <c r="E102" s="5" t="s">
        <v>192</v>
      </c>
      <c r="F102" s="5" t="s">
        <v>147</v>
      </c>
      <c r="G102" s="5" t="s">
        <v>365</v>
      </c>
      <c r="H102" s="5" t="s">
        <v>585</v>
      </c>
      <c r="I102" s="5">
        <v>18</v>
      </c>
      <c r="J102" s="5"/>
      <c r="K102" s="5">
        <v>31.2</v>
      </c>
      <c r="L102" s="5" t="b">
        <v>1</v>
      </c>
      <c r="M102" s="5">
        <v>41.9</v>
      </c>
      <c r="N102" s="5" t="b">
        <v>1</v>
      </c>
      <c r="O102" s="5" t="s">
        <v>815</v>
      </c>
      <c r="P102" s="5" t="s">
        <v>816</v>
      </c>
      <c r="Q102" s="5" t="s">
        <v>417</v>
      </c>
      <c r="R102" s="5" t="s">
        <v>420</v>
      </c>
      <c r="S102" s="5" t="s">
        <v>771</v>
      </c>
    </row>
    <row r="103" ht="30" customHeight="1" spans="1:19">
      <c r="A103" s="5" t="s">
        <v>817</v>
      </c>
      <c r="B103" s="5">
        <v>34</v>
      </c>
      <c r="C103" s="5" t="s">
        <v>224</v>
      </c>
      <c r="D103" s="5" t="s">
        <v>225</v>
      </c>
      <c r="E103" s="5" t="s">
        <v>226</v>
      </c>
      <c r="F103" s="5" t="s">
        <v>147</v>
      </c>
      <c r="G103" s="5" t="s">
        <v>365</v>
      </c>
      <c r="H103" s="5" t="s">
        <v>569</v>
      </c>
      <c r="I103" s="5">
        <v>18</v>
      </c>
      <c r="J103" s="5"/>
      <c r="K103" s="5">
        <v>73</v>
      </c>
      <c r="L103" s="5" t="b">
        <v>1</v>
      </c>
      <c r="M103" s="5">
        <v>96.2</v>
      </c>
      <c r="N103" s="5" t="b">
        <v>1</v>
      </c>
      <c r="O103" s="5" t="s">
        <v>818</v>
      </c>
      <c r="P103" s="5" t="s">
        <v>819</v>
      </c>
      <c r="Q103" s="5" t="s">
        <v>417</v>
      </c>
      <c r="R103" s="5" t="s">
        <v>420</v>
      </c>
      <c r="S103" s="5" t="s">
        <v>771</v>
      </c>
    </row>
    <row r="104" ht="30" customHeight="1" spans="1:19">
      <c r="A104" s="5" t="s">
        <v>820</v>
      </c>
      <c r="B104" s="5">
        <v>34</v>
      </c>
      <c r="C104" s="5" t="s">
        <v>224</v>
      </c>
      <c r="D104" s="5" t="s">
        <v>225</v>
      </c>
      <c r="E104" s="5" t="s">
        <v>226</v>
      </c>
      <c r="F104" s="5" t="s">
        <v>147</v>
      </c>
      <c r="G104" s="5" t="s">
        <v>365</v>
      </c>
      <c r="H104" s="5" t="s">
        <v>585</v>
      </c>
      <c r="I104" s="5">
        <v>18</v>
      </c>
      <c r="J104" s="5"/>
      <c r="K104" s="5">
        <v>75.5</v>
      </c>
      <c r="L104" s="5" t="b">
        <v>1</v>
      </c>
      <c r="M104" s="5">
        <v>95.3</v>
      </c>
      <c r="N104" s="5" t="b">
        <v>1</v>
      </c>
      <c r="O104" s="5" t="s">
        <v>821</v>
      </c>
      <c r="P104" s="5" t="s">
        <v>822</v>
      </c>
      <c r="Q104" s="5" t="s">
        <v>417</v>
      </c>
      <c r="R104" s="5" t="s">
        <v>420</v>
      </c>
      <c r="S104" s="5" t="s">
        <v>771</v>
      </c>
    </row>
    <row r="105" ht="30" customHeight="1" spans="1:19">
      <c r="A105" s="5" t="s">
        <v>823</v>
      </c>
      <c r="B105" s="5">
        <v>35</v>
      </c>
      <c r="C105" s="5" t="s">
        <v>229</v>
      </c>
      <c r="D105" s="5" t="s">
        <v>230</v>
      </c>
      <c r="E105" s="5" t="s">
        <v>192</v>
      </c>
      <c r="F105" s="5" t="s">
        <v>147</v>
      </c>
      <c r="G105" s="5" t="s">
        <v>365</v>
      </c>
      <c r="H105" s="5" t="s">
        <v>569</v>
      </c>
      <c r="I105" s="5">
        <v>18</v>
      </c>
      <c r="J105" s="5"/>
      <c r="K105" s="5">
        <v>12.1</v>
      </c>
      <c r="L105" s="5" t="b">
        <v>1</v>
      </c>
      <c r="M105" s="5">
        <v>16.2</v>
      </c>
      <c r="N105" s="5" t="b">
        <v>1</v>
      </c>
      <c r="O105" s="5" t="s">
        <v>824</v>
      </c>
      <c r="P105" s="5" t="s">
        <v>825</v>
      </c>
      <c r="Q105" s="5" t="s">
        <v>417</v>
      </c>
      <c r="R105" s="5" t="s">
        <v>420</v>
      </c>
      <c r="S105" s="5" t="s">
        <v>771</v>
      </c>
    </row>
    <row r="106" ht="30" customHeight="1" spans="1:19">
      <c r="A106" s="5" t="s">
        <v>826</v>
      </c>
      <c r="B106" s="5">
        <v>35</v>
      </c>
      <c r="C106" s="5" t="s">
        <v>229</v>
      </c>
      <c r="D106" s="5" t="s">
        <v>230</v>
      </c>
      <c r="E106" s="5" t="s">
        <v>192</v>
      </c>
      <c r="F106" s="5" t="s">
        <v>147</v>
      </c>
      <c r="G106" s="5" t="s">
        <v>365</v>
      </c>
      <c r="H106" s="5" t="s">
        <v>585</v>
      </c>
      <c r="I106" s="5">
        <v>18</v>
      </c>
      <c r="J106" s="5"/>
      <c r="K106" s="5">
        <v>12.3</v>
      </c>
      <c r="L106" s="5" t="b">
        <v>1</v>
      </c>
      <c r="M106" s="5">
        <v>17.7</v>
      </c>
      <c r="N106" s="5" t="b">
        <v>1</v>
      </c>
      <c r="O106" s="5" t="s">
        <v>827</v>
      </c>
      <c r="P106" s="5" t="s">
        <v>828</v>
      </c>
      <c r="Q106" s="5" t="s">
        <v>417</v>
      </c>
      <c r="R106" s="5" t="s">
        <v>420</v>
      </c>
      <c r="S106" s="5" t="s">
        <v>771</v>
      </c>
    </row>
    <row r="107" ht="30" customHeight="1" spans="1:19">
      <c r="A107" s="5" t="s">
        <v>829</v>
      </c>
      <c r="B107" s="5">
        <v>36</v>
      </c>
      <c r="C107" s="5" t="s">
        <v>233</v>
      </c>
      <c r="D107" s="5" t="s">
        <v>234</v>
      </c>
      <c r="E107" s="5" t="s">
        <v>235</v>
      </c>
      <c r="F107" s="5" t="s">
        <v>147</v>
      </c>
      <c r="G107" s="5" t="s">
        <v>365</v>
      </c>
      <c r="H107" s="5" t="s">
        <v>569</v>
      </c>
      <c r="I107" s="5">
        <v>18</v>
      </c>
      <c r="J107" s="5"/>
      <c r="K107" s="5">
        <v>0</v>
      </c>
      <c r="L107" s="5" t="b">
        <v>1</v>
      </c>
      <c r="M107" s="5">
        <v>0.6</v>
      </c>
      <c r="N107" s="5" t="b">
        <v>1</v>
      </c>
      <c r="O107" s="5" t="s">
        <v>830</v>
      </c>
      <c r="P107" s="5" t="s">
        <v>831</v>
      </c>
      <c r="Q107" s="5" t="s">
        <v>417</v>
      </c>
      <c r="R107" s="5" t="s">
        <v>420</v>
      </c>
      <c r="S107" s="5" t="s">
        <v>771</v>
      </c>
    </row>
    <row r="108" ht="30" customHeight="1" spans="1:19">
      <c r="A108" s="5" t="s">
        <v>832</v>
      </c>
      <c r="B108" s="5">
        <v>36</v>
      </c>
      <c r="C108" s="5" t="s">
        <v>233</v>
      </c>
      <c r="D108" s="5" t="s">
        <v>234</v>
      </c>
      <c r="E108" s="5" t="s">
        <v>235</v>
      </c>
      <c r="F108" s="5" t="s">
        <v>147</v>
      </c>
      <c r="G108" s="5" t="s">
        <v>365</v>
      </c>
      <c r="H108" s="5" t="s">
        <v>585</v>
      </c>
      <c r="I108" s="5">
        <v>18</v>
      </c>
      <c r="J108" s="5"/>
      <c r="K108" s="5">
        <v>0</v>
      </c>
      <c r="L108" s="5" t="b">
        <v>1</v>
      </c>
      <c r="M108" s="5">
        <v>0.3</v>
      </c>
      <c r="N108" s="5" t="b">
        <v>1</v>
      </c>
      <c r="O108" s="5" t="s">
        <v>833</v>
      </c>
      <c r="P108" s="5" t="s">
        <v>834</v>
      </c>
      <c r="Q108" s="5" t="s">
        <v>417</v>
      </c>
      <c r="R108" s="5" t="s">
        <v>420</v>
      </c>
      <c r="S108" s="5" t="s">
        <v>771</v>
      </c>
    </row>
    <row r="109" ht="30" customHeight="1" spans="1:19">
      <c r="A109" s="5" t="s">
        <v>835</v>
      </c>
      <c r="B109" s="5">
        <v>37</v>
      </c>
      <c r="C109" s="5" t="s">
        <v>238</v>
      </c>
      <c r="D109" s="5" t="s">
        <v>239</v>
      </c>
      <c r="E109" s="5" t="s">
        <v>226</v>
      </c>
      <c r="F109" s="5" t="s">
        <v>147</v>
      </c>
      <c r="G109" s="5" t="s">
        <v>365</v>
      </c>
      <c r="H109" s="5" t="s">
        <v>569</v>
      </c>
      <c r="I109" s="5">
        <v>18</v>
      </c>
      <c r="J109" s="5"/>
      <c r="K109" s="5">
        <v>7.4</v>
      </c>
      <c r="L109" s="5" t="b">
        <v>1</v>
      </c>
      <c r="M109" s="5">
        <v>11.4</v>
      </c>
      <c r="N109" s="5" t="b">
        <v>1</v>
      </c>
      <c r="O109" s="5" t="s">
        <v>836</v>
      </c>
      <c r="P109" s="5" t="s">
        <v>837</v>
      </c>
      <c r="Q109" s="5" t="s">
        <v>417</v>
      </c>
      <c r="R109" s="5" t="s">
        <v>420</v>
      </c>
      <c r="S109" s="5" t="s">
        <v>771</v>
      </c>
    </row>
    <row r="110" ht="30" customHeight="1" spans="1:19">
      <c r="A110" s="5" t="s">
        <v>838</v>
      </c>
      <c r="B110" s="5">
        <v>37</v>
      </c>
      <c r="C110" s="5" t="s">
        <v>238</v>
      </c>
      <c r="D110" s="5" t="s">
        <v>239</v>
      </c>
      <c r="E110" s="5" t="s">
        <v>226</v>
      </c>
      <c r="F110" s="5" t="s">
        <v>147</v>
      </c>
      <c r="G110" s="5" t="s">
        <v>365</v>
      </c>
      <c r="H110" s="5" t="s">
        <v>585</v>
      </c>
      <c r="I110" s="5">
        <v>18</v>
      </c>
      <c r="J110" s="5"/>
      <c r="K110" s="5">
        <v>7.9</v>
      </c>
      <c r="L110" s="5" t="b">
        <v>1</v>
      </c>
      <c r="M110" s="5">
        <v>10.8</v>
      </c>
      <c r="N110" s="5" t="b">
        <v>1</v>
      </c>
      <c r="O110" s="5" t="s">
        <v>839</v>
      </c>
      <c r="P110" s="5" t="s">
        <v>840</v>
      </c>
      <c r="Q110" s="5" t="s">
        <v>417</v>
      </c>
      <c r="R110" s="5" t="s">
        <v>420</v>
      </c>
      <c r="S110" s="5" t="s">
        <v>771</v>
      </c>
    </row>
    <row r="111" ht="30" customHeight="1" spans="1:19">
      <c r="A111" s="5" t="s">
        <v>841</v>
      </c>
      <c r="B111" s="5">
        <v>38</v>
      </c>
      <c r="C111" s="5" t="s">
        <v>246</v>
      </c>
      <c r="D111" s="5" t="s">
        <v>248</v>
      </c>
      <c r="E111" s="5" t="s">
        <v>192</v>
      </c>
      <c r="F111" s="5" t="s">
        <v>147</v>
      </c>
      <c r="G111" s="5" t="s">
        <v>365</v>
      </c>
      <c r="H111" s="5" t="s">
        <v>541</v>
      </c>
      <c r="I111" s="5">
        <v>18</v>
      </c>
      <c r="J111" s="5"/>
      <c r="K111" s="5"/>
      <c r="L111" s="5" t="b">
        <v>1</v>
      </c>
      <c r="M111" s="5">
        <v>5.7</v>
      </c>
      <c r="N111" s="5" t="b">
        <v>0</v>
      </c>
      <c r="O111" s="5" t="s">
        <v>842</v>
      </c>
      <c r="P111" s="5" t="s">
        <v>433</v>
      </c>
      <c r="Q111" s="5" t="s">
        <v>434</v>
      </c>
      <c r="R111" s="5" t="s">
        <v>437</v>
      </c>
      <c r="S111" s="5" t="s">
        <v>843</v>
      </c>
    </row>
    <row r="112" ht="30" customHeight="1" spans="1:19">
      <c r="A112" s="5" t="s">
        <v>844</v>
      </c>
      <c r="B112" s="5">
        <v>39</v>
      </c>
      <c r="C112" s="5" t="s">
        <v>252</v>
      </c>
      <c r="D112" s="5" t="s">
        <v>254</v>
      </c>
      <c r="E112" s="5" t="s">
        <v>255</v>
      </c>
      <c r="F112" s="5" t="s">
        <v>147</v>
      </c>
      <c r="G112" s="5" t="s">
        <v>365</v>
      </c>
      <c r="H112" s="5" t="s">
        <v>541</v>
      </c>
      <c r="I112" s="5">
        <v>18</v>
      </c>
      <c r="J112" s="5"/>
      <c r="K112" s="5"/>
      <c r="L112" s="5" t="b">
        <v>1</v>
      </c>
      <c r="M112" s="5">
        <v>2</v>
      </c>
      <c r="N112" s="5" t="b">
        <v>0</v>
      </c>
      <c r="O112" s="5" t="s">
        <v>845</v>
      </c>
      <c r="P112" s="5" t="s">
        <v>439</v>
      </c>
      <c r="Q112" s="5" t="s">
        <v>440</v>
      </c>
      <c r="R112" s="5" t="s">
        <v>443</v>
      </c>
      <c r="S112" s="5" t="s">
        <v>846</v>
      </c>
    </row>
    <row r="113" ht="30" customHeight="1" spans="1:19">
      <c r="A113" s="5" t="s">
        <v>847</v>
      </c>
      <c r="B113" s="5">
        <v>40</v>
      </c>
      <c r="C113" s="5" t="s">
        <v>263</v>
      </c>
      <c r="D113" s="5" t="s">
        <v>265</v>
      </c>
      <c r="E113" s="5" t="s">
        <v>266</v>
      </c>
      <c r="F113" s="5" t="s">
        <v>147</v>
      </c>
      <c r="G113" s="5" t="s">
        <v>365</v>
      </c>
      <c r="H113" s="5" t="s">
        <v>541</v>
      </c>
      <c r="I113" s="5">
        <v>18</v>
      </c>
      <c r="J113" s="5"/>
      <c r="K113" s="5">
        <v>50</v>
      </c>
      <c r="L113" s="5" t="b">
        <v>1</v>
      </c>
      <c r="M113" s="5">
        <v>125</v>
      </c>
      <c r="N113" s="5" t="b">
        <v>1</v>
      </c>
      <c r="O113" s="5" t="s">
        <v>848</v>
      </c>
      <c r="P113" s="5" t="s">
        <v>446</v>
      </c>
      <c r="Q113" s="5" t="s">
        <v>447</v>
      </c>
      <c r="R113" s="5" t="s">
        <v>450</v>
      </c>
      <c r="S113" s="5" t="s">
        <v>849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workbookViewId="0">
      <selection activeCell="A1" sqref="A1"/>
    </sheetView>
  </sheetViews>
  <sheetFormatPr defaultColWidth="9" defaultRowHeight="14.25" outlineLevelCol="4"/>
  <cols>
    <col min="1" max="1" width="10" customWidth="1"/>
    <col min="2" max="2" width="24" customWidth="1"/>
    <col min="3" max="3" width="38" customWidth="1"/>
    <col min="4" max="4" width="65" customWidth="1"/>
    <col min="5" max="5" width="60" customWidth="1"/>
  </cols>
  <sheetData>
    <row r="1" ht="34" customHeight="1" spans="1:5">
      <c r="A1" s="1" t="s">
        <v>315</v>
      </c>
      <c r="B1" s="1" t="s">
        <v>850</v>
      </c>
      <c r="C1" s="1" t="s">
        <v>477</v>
      </c>
      <c r="D1" s="1" t="s">
        <v>478</v>
      </c>
      <c r="E1" s="1" t="s">
        <v>851</v>
      </c>
    </row>
    <row r="2" ht="34" customHeight="1" spans="1:5">
      <c r="A2" s="2" t="s">
        <v>325</v>
      </c>
      <c r="B2" s="2" t="s">
        <v>852</v>
      </c>
      <c r="C2" s="2" t="s">
        <v>853</v>
      </c>
      <c r="D2" s="2" t="s">
        <v>329</v>
      </c>
      <c r="E2" s="2" t="s">
        <v>854</v>
      </c>
    </row>
    <row r="3" ht="34" customHeight="1" spans="1:5">
      <c r="A3" s="2" t="s">
        <v>334</v>
      </c>
      <c r="B3" s="2" t="s">
        <v>852</v>
      </c>
      <c r="C3" s="2" t="s">
        <v>855</v>
      </c>
      <c r="D3" s="2" t="s">
        <v>336</v>
      </c>
      <c r="E3" s="2" t="s">
        <v>856</v>
      </c>
    </row>
    <row r="4" ht="34" customHeight="1" spans="1:5">
      <c r="A4" s="2" t="s">
        <v>338</v>
      </c>
      <c r="B4" s="2" t="s">
        <v>852</v>
      </c>
      <c r="C4" s="2" t="s">
        <v>857</v>
      </c>
      <c r="D4" s="2" t="s">
        <v>340</v>
      </c>
      <c r="E4" s="2" t="s">
        <v>858</v>
      </c>
    </row>
    <row r="5" ht="34" customHeight="1" spans="1:5">
      <c r="A5" s="2" t="s">
        <v>351</v>
      </c>
      <c r="B5" s="2" t="s">
        <v>852</v>
      </c>
      <c r="C5" s="2" t="s">
        <v>859</v>
      </c>
      <c r="D5" s="2" t="s">
        <v>353</v>
      </c>
      <c r="E5" s="2" t="s">
        <v>860</v>
      </c>
    </row>
    <row r="6" ht="34" customHeight="1" spans="1:5">
      <c r="A6" s="2" t="s">
        <v>354</v>
      </c>
      <c r="B6" s="2" t="s">
        <v>852</v>
      </c>
      <c r="C6" s="2" t="s">
        <v>861</v>
      </c>
      <c r="D6" s="2" t="s">
        <v>356</v>
      </c>
      <c r="E6" s="2" t="s">
        <v>862</v>
      </c>
    </row>
    <row r="7" ht="34" customHeight="1" spans="1:5">
      <c r="A7" s="2" t="s">
        <v>357</v>
      </c>
      <c r="B7" s="2" t="s">
        <v>852</v>
      </c>
      <c r="C7" s="2" t="s">
        <v>863</v>
      </c>
      <c r="D7" s="2" t="s">
        <v>359</v>
      </c>
      <c r="E7" s="2" t="s">
        <v>864</v>
      </c>
    </row>
    <row r="8" ht="34" customHeight="1" spans="1:5">
      <c r="A8" s="2" t="s">
        <v>377</v>
      </c>
      <c r="B8" s="2" t="s">
        <v>852</v>
      </c>
      <c r="C8" s="2" t="s">
        <v>865</v>
      </c>
      <c r="D8" s="2" t="s">
        <v>379</v>
      </c>
      <c r="E8" s="2" t="s">
        <v>866</v>
      </c>
    </row>
    <row r="9" ht="34" customHeight="1" spans="1:5">
      <c r="A9" s="2" t="s">
        <v>380</v>
      </c>
      <c r="B9" s="2" t="s">
        <v>852</v>
      </c>
      <c r="C9" s="2" t="s">
        <v>867</v>
      </c>
      <c r="D9" s="2" t="s">
        <v>382</v>
      </c>
      <c r="E9" s="2" t="s">
        <v>868</v>
      </c>
    </row>
    <row r="10" ht="34" customHeight="1" spans="1:5">
      <c r="A10" s="2" t="s">
        <v>383</v>
      </c>
      <c r="B10" s="2" t="s">
        <v>852</v>
      </c>
      <c r="C10" s="2" t="s">
        <v>869</v>
      </c>
      <c r="D10" s="2" t="s">
        <v>385</v>
      </c>
      <c r="E10" s="2" t="s">
        <v>870</v>
      </c>
    </row>
    <row r="11" ht="34" customHeight="1" spans="1:5">
      <c r="A11" s="2" t="s">
        <v>386</v>
      </c>
      <c r="B11" s="2" t="s">
        <v>852</v>
      </c>
      <c r="C11" s="2" t="s">
        <v>871</v>
      </c>
      <c r="D11" s="2" t="s">
        <v>388</v>
      </c>
      <c r="E11" s="2" t="s">
        <v>872</v>
      </c>
    </row>
    <row r="12" ht="34" customHeight="1" spans="1:5">
      <c r="A12" s="2" t="s">
        <v>392</v>
      </c>
      <c r="B12" s="2" t="s">
        <v>852</v>
      </c>
      <c r="C12" s="2" t="s">
        <v>873</v>
      </c>
      <c r="D12" s="2" t="s">
        <v>394</v>
      </c>
      <c r="E12" s="2" t="s">
        <v>874</v>
      </c>
    </row>
    <row r="13" ht="34" customHeight="1" spans="1:5">
      <c r="A13" s="2" t="s">
        <v>395</v>
      </c>
      <c r="B13" s="2" t="s">
        <v>852</v>
      </c>
      <c r="C13" s="2" t="s">
        <v>875</v>
      </c>
      <c r="D13" s="2" t="s">
        <v>397</v>
      </c>
      <c r="E13" s="2" t="s">
        <v>876</v>
      </c>
    </row>
    <row r="14" ht="34" customHeight="1" spans="1:5">
      <c r="A14" s="2" t="s">
        <v>398</v>
      </c>
      <c r="B14" s="2" t="s">
        <v>852</v>
      </c>
      <c r="C14" s="2" t="s">
        <v>877</v>
      </c>
      <c r="D14" s="2" t="s">
        <v>400</v>
      </c>
      <c r="E14" s="2" t="s">
        <v>878</v>
      </c>
    </row>
    <row r="15" ht="34" customHeight="1" spans="1:5">
      <c r="A15" s="2" t="s">
        <v>404</v>
      </c>
      <c r="B15" s="2" t="s">
        <v>852</v>
      </c>
      <c r="C15" s="2" t="s">
        <v>879</v>
      </c>
      <c r="D15" s="2" t="s">
        <v>406</v>
      </c>
      <c r="E15" s="2" t="s">
        <v>880</v>
      </c>
    </row>
    <row r="16" ht="34" customHeight="1" spans="1:5">
      <c r="A16" s="2" t="s">
        <v>407</v>
      </c>
      <c r="B16" s="2" t="s">
        <v>852</v>
      </c>
      <c r="C16" s="2" t="s">
        <v>881</v>
      </c>
      <c r="D16" s="2" t="s">
        <v>409</v>
      </c>
      <c r="E16" s="2" t="s">
        <v>882</v>
      </c>
    </row>
    <row r="17" ht="34" customHeight="1" spans="1:5">
      <c r="A17" s="2" t="s">
        <v>413</v>
      </c>
      <c r="B17" s="2" t="s">
        <v>852</v>
      </c>
      <c r="C17" s="2" t="s">
        <v>883</v>
      </c>
      <c r="D17" s="2" t="s">
        <v>415</v>
      </c>
      <c r="E17" s="2" t="s">
        <v>884</v>
      </c>
    </row>
    <row r="18" ht="34" customHeight="1" spans="1:5">
      <c r="A18" s="2" t="s">
        <v>434</v>
      </c>
      <c r="B18" s="2" t="s">
        <v>885</v>
      </c>
      <c r="C18" s="2" t="s">
        <v>886</v>
      </c>
      <c r="D18" s="2" t="s">
        <v>437</v>
      </c>
      <c r="E18" s="2" t="s">
        <v>887</v>
      </c>
    </row>
    <row r="19" ht="34" customHeight="1" spans="1:5">
      <c r="A19" s="2" t="s">
        <v>440</v>
      </c>
      <c r="B19" s="2" t="s">
        <v>852</v>
      </c>
      <c r="C19" s="2" t="s">
        <v>888</v>
      </c>
      <c r="D19" s="2" t="s">
        <v>443</v>
      </c>
      <c r="E19" s="2" t="s">
        <v>889</v>
      </c>
    </row>
    <row r="20" ht="34" customHeight="1" spans="1:5">
      <c r="A20" s="2" t="s">
        <v>447</v>
      </c>
      <c r="B20" s="2" t="s">
        <v>890</v>
      </c>
      <c r="C20" s="2" t="s">
        <v>891</v>
      </c>
      <c r="D20" s="2" t="s">
        <v>450</v>
      </c>
      <c r="E20" s="2" t="s">
        <v>892</v>
      </c>
    </row>
    <row r="21" ht="34" customHeight="1" spans="1:5">
      <c r="A21" s="2" t="s">
        <v>893</v>
      </c>
      <c r="B21" s="2" t="s">
        <v>484</v>
      </c>
      <c r="C21" s="2" t="s">
        <v>894</v>
      </c>
      <c r="D21" s="2" t="s">
        <v>88</v>
      </c>
      <c r="E21" s="2" t="s">
        <v>895</v>
      </c>
    </row>
    <row r="22" ht="34" customHeight="1" spans="1:5">
      <c r="A22" s="2" t="s">
        <v>417</v>
      </c>
      <c r="B22" s="2" t="s">
        <v>896</v>
      </c>
      <c r="C22" s="2" t="s">
        <v>897</v>
      </c>
      <c r="D22" s="2" t="s">
        <v>420</v>
      </c>
      <c r="E22" s="2" t="s">
        <v>898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Attribute_Config</vt:lpstr>
      <vt:lpstr>Panel_Summary</vt:lpstr>
      <vt:lpstr>Semantic_Groups</vt:lpstr>
      <vt:lpstr>Decision_Rules</vt:lpstr>
      <vt:lpstr>Excluded_Candidates</vt:lpstr>
      <vt:lpstr>Sources</vt:lpstr>
      <vt:lpstr>Read_Me</vt:lpstr>
      <vt:lpstr>Rule_Lookup</vt:lpstr>
      <vt:lpstr>Rule_Sources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圖桔</cp:lastModifiedBy>
  <dcterms:created xsi:type="dcterms:W3CDTF">2026-09-06T14:08:58Z</dcterms:created>
  <dcterms:modified xsi:type="dcterms:W3CDTF">2026-09-06T14:09:12Z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067972C8181A43F8A55E765A2A975FF3_12</vt:lpwstr>
  </property>
  <property fmtid="{D5CDD505-2E9C-101B-9397-08002B2CF9AE}" pid="3" name="KSOProductBuildVer">
    <vt:lpwstr>2052-12.1.0.19770</vt:lpwstr>
  </property>
</Properties>
</file>